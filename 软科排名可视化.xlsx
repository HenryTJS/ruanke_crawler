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国最好学科排名" sheetId="1" state="visible" r:id="rId1"/>
    <sheet xmlns:r="http://schemas.openxmlformats.org/officeDocument/2006/relationships" name="中国大学专业排名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院校代码</t>
        </is>
      </c>
      <c r="B1" s="1" t="inlineStr">
        <is>
          <t>院校名称</t>
        </is>
      </c>
      <c r="C1" s="1" t="inlineStr">
        <is>
          <t>前2名</t>
        </is>
      </c>
      <c r="D1" s="1" t="inlineStr">
        <is>
          <t>前3名</t>
        </is>
      </c>
      <c r="E1" s="1" t="inlineStr">
        <is>
          <t>前4名</t>
        </is>
      </c>
      <c r="F1" s="1" t="inlineStr">
        <is>
          <t>前3%</t>
        </is>
      </c>
      <c r="G1" s="1" t="inlineStr">
        <is>
          <t>前7%</t>
        </is>
      </c>
      <c r="H1" s="1" t="inlineStr">
        <is>
          <t>前12%</t>
        </is>
      </c>
      <c r="I1" s="1" t="inlineStr">
        <is>
          <t>前20%</t>
        </is>
      </c>
      <c r="J1" s="1" t="inlineStr">
        <is>
          <t>前30%</t>
        </is>
      </c>
      <c r="K1" s="1" t="inlineStr">
        <is>
          <t>前40%</t>
        </is>
      </c>
      <c r="L1" s="1" t="inlineStr">
        <is>
          <t>前50%</t>
        </is>
      </c>
      <c r="M1" s="1" t="inlineStr">
        <is>
          <t>总得分</t>
        </is>
      </c>
      <c r="N1" s="1" t="inlineStr">
        <is>
          <t>权重</t>
        </is>
      </c>
      <c r="O1" s="1" t="inlineStr">
        <is>
          <t>最终得分</t>
        </is>
      </c>
      <c r="P1" s="1" t="inlineStr">
        <is>
          <t>最终排名</t>
        </is>
      </c>
      <c r="Q1" s="1" t="inlineStr">
        <is>
          <t>顶尖学科</t>
        </is>
      </c>
      <c r="R1" s="1" t="inlineStr">
        <is>
          <t>一流学科</t>
        </is>
      </c>
      <c r="S1" s="1" t="inlineStr">
        <is>
          <t>上榜学科</t>
        </is>
      </c>
      <c r="T1" s="1" t="inlineStr">
        <is>
          <t>顶尖比一流</t>
        </is>
      </c>
      <c r="U1" s="1" t="inlineStr">
        <is>
          <t>顶尖比上榜</t>
        </is>
      </c>
      <c r="V1" s="1" t="inlineStr">
        <is>
          <t>一流比上榜</t>
        </is>
      </c>
    </row>
    <row r="2">
      <c r="A2" t="inlineStr">
        <is>
          <t>RC00004</t>
        </is>
      </c>
      <c r="B2" t="inlineStr">
        <is>
          <t>复旦大学</t>
        </is>
      </c>
      <c r="C2" t="n">
        <v>0</v>
      </c>
      <c r="D2" t="n">
        <v>1</v>
      </c>
      <c r="E2" t="n">
        <v>0</v>
      </c>
      <c r="F2" t="n">
        <v>15</v>
      </c>
      <c r="G2" t="n">
        <v>7</v>
      </c>
      <c r="H2" t="n">
        <v>9</v>
      </c>
      <c r="I2" t="n">
        <v>3</v>
      </c>
      <c r="J2" t="n">
        <v>5</v>
      </c>
      <c r="K2" t="n">
        <v>0</v>
      </c>
      <c r="L2" t="n">
        <v>3</v>
      </c>
      <c r="M2" t="n">
        <v>89466.05047694863</v>
      </c>
      <c r="N2" t="n">
        <v>181.0691374563231</v>
      </c>
      <c r="O2">
        <f>IF(N2=0, 0, M2/N2)</f>
        <v/>
      </c>
      <c r="P2">
        <f>RANK(O2, O$2:O$518, 0)</f>
        <v/>
      </c>
      <c r="Q2">
        <f>SUM(C2,F2)</f>
        <v/>
      </c>
      <c r="R2">
        <f>SUM(Q2,G2,H2,D2,E2)</f>
        <v/>
      </c>
      <c r="S2">
        <f>SUM(R2,I2,J2,K2,L2)</f>
        <v/>
      </c>
      <c r="T2">
        <f>IF(R2=0, -1, Q2/R2)</f>
        <v/>
      </c>
      <c r="U2">
        <f>IF(S2=0, -1, Q2/S2)</f>
        <v/>
      </c>
      <c r="V2">
        <f>IF(S2=0, -1, R2/S2)</f>
        <v/>
      </c>
    </row>
    <row r="3">
      <c r="A3" t="inlineStr">
        <is>
          <t>RC00085</t>
        </is>
      </c>
      <c r="B3" t="inlineStr">
        <is>
          <t>中国人民大学</t>
        </is>
      </c>
      <c r="C3" t="n">
        <v>0</v>
      </c>
      <c r="D3" t="n">
        <v>0</v>
      </c>
      <c r="E3" t="n">
        <v>0</v>
      </c>
      <c r="F3" t="n">
        <v>11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1</v>
      </c>
      <c r="M3" t="n">
        <v>65249.83584165195</v>
      </c>
      <c r="N3" t="n">
        <v>128.7599748586503</v>
      </c>
      <c r="O3">
        <f>IF(N3=0, 0, M3/N3)</f>
        <v/>
      </c>
      <c r="P3">
        <f>RANK(O3, O$2:O$518, 0)</f>
        <v/>
      </c>
      <c r="Q3">
        <f>SUM(C3,F3)</f>
        <v/>
      </c>
      <c r="R3">
        <f>SUM(Q3,G3,H3,D3,E3)</f>
        <v/>
      </c>
      <c r="S3">
        <f>SUM(R3,I3,J3,K3,L3)</f>
        <v/>
      </c>
      <c r="T3">
        <f>IF(R3=0, -1, Q3/R3)</f>
        <v/>
      </c>
      <c r="U3">
        <f>IF(S3=0, -1, Q3/S3)</f>
        <v/>
      </c>
      <c r="V3">
        <f>IF(S3=0, -1, R3/S3)</f>
        <v/>
      </c>
    </row>
    <row r="4">
      <c r="A4" t="inlineStr">
        <is>
          <t>RC00002</t>
        </is>
      </c>
      <c r="B4" t="inlineStr">
        <is>
          <t>北京大学</t>
        </is>
      </c>
      <c r="C4" t="n">
        <v>2</v>
      </c>
      <c r="D4" t="n">
        <v>2</v>
      </c>
      <c r="E4" t="n">
        <v>1</v>
      </c>
      <c r="F4" t="n">
        <v>26</v>
      </c>
      <c r="G4" t="n">
        <v>10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138222.8741272029</v>
      </c>
      <c r="N4" t="n">
        <v>207.1936191496335</v>
      </c>
      <c r="O4">
        <f>IF(N4=0, 0, M4/N4)</f>
        <v/>
      </c>
      <c r="P4">
        <f>RANK(O4, O$2:O$518, 0)</f>
        <v/>
      </c>
      <c r="Q4">
        <f>SUM(C4,F4)</f>
        <v/>
      </c>
      <c r="R4">
        <f>SUM(Q4,G4,H4,D4,E4)</f>
        <v/>
      </c>
      <c r="S4">
        <f>SUM(R4,I4,J4,K4,L4)</f>
        <v/>
      </c>
      <c r="T4">
        <f>IF(R4=0, -1, Q4/R4)</f>
        <v/>
      </c>
      <c r="U4">
        <f>IF(S4=0, -1, Q4/S4)</f>
        <v/>
      </c>
      <c r="V4">
        <f>IF(S4=0, -1, R4/S4)</f>
        <v/>
      </c>
    </row>
    <row r="5">
      <c r="A5" t="inlineStr">
        <is>
          <t>RC00007</t>
        </is>
      </c>
      <c r="B5" t="inlineStr">
        <is>
          <t>中山大学</t>
        </is>
      </c>
      <c r="C5" t="n">
        <v>0</v>
      </c>
      <c r="D5" t="n">
        <v>0</v>
      </c>
      <c r="E5" t="n">
        <v>1</v>
      </c>
      <c r="F5" t="n">
        <v>4</v>
      </c>
      <c r="G5" t="n">
        <v>11</v>
      </c>
      <c r="H5" t="n">
        <v>11</v>
      </c>
      <c r="I5" t="n">
        <v>12</v>
      </c>
      <c r="J5" t="n">
        <v>12</v>
      </c>
      <c r="K5" t="n">
        <v>7</v>
      </c>
      <c r="L5" t="n">
        <v>5</v>
      </c>
      <c r="M5" t="n">
        <v>74519.36237001746</v>
      </c>
      <c r="N5" t="n">
        <v>246.8828246851766</v>
      </c>
      <c r="O5">
        <f>IF(N5=0, 0, M5/N5)</f>
        <v/>
      </c>
      <c r="P5">
        <f>RANK(O5, O$2:O$518, 0)</f>
        <v/>
      </c>
      <c r="Q5">
        <f>SUM(C5,F5)</f>
        <v/>
      </c>
      <c r="R5">
        <f>SUM(Q5,G5,H5,D5,E5)</f>
        <v/>
      </c>
      <c r="S5">
        <f>SUM(R5,I5,J5,K5,L5)</f>
        <v/>
      </c>
      <c r="T5">
        <f>IF(R5=0, -1, Q5/R5)</f>
        <v/>
      </c>
      <c r="U5">
        <f>IF(S5=0, -1, Q5/S5)</f>
        <v/>
      </c>
      <c r="V5">
        <f>IF(S5=0, -1, R5/S5)</f>
        <v/>
      </c>
    </row>
    <row r="6">
      <c r="A6" t="inlineStr">
        <is>
          <t>RC00042</t>
        </is>
      </c>
      <c r="B6" t="inlineStr">
        <is>
          <t>华东师范大学</t>
        </is>
      </c>
      <c r="C6" t="n">
        <v>0</v>
      </c>
      <c r="D6" t="n">
        <v>0</v>
      </c>
      <c r="E6" t="n">
        <v>0</v>
      </c>
      <c r="F6" t="n">
        <v>4</v>
      </c>
      <c r="G6" t="n">
        <v>7</v>
      </c>
      <c r="H6" t="n">
        <v>7</v>
      </c>
      <c r="I6" t="n">
        <v>9</v>
      </c>
      <c r="J6" t="n">
        <v>4</v>
      </c>
      <c r="K6" t="n">
        <v>5</v>
      </c>
      <c r="L6" t="n">
        <v>1</v>
      </c>
      <c r="M6" t="n">
        <v>49726.24475037472</v>
      </c>
      <c r="N6" t="n">
        <v>160.4195911463515</v>
      </c>
      <c r="O6">
        <f>IF(N6=0, 0, M6/N6)</f>
        <v/>
      </c>
      <c r="P6">
        <f>RANK(O6, O$2:O$518, 0)</f>
        <v/>
      </c>
      <c r="Q6">
        <f>SUM(C6,F6)</f>
        <v/>
      </c>
      <c r="R6">
        <f>SUM(Q6,G6,H6,D6,E6)</f>
        <v/>
      </c>
      <c r="S6">
        <f>SUM(R6,I6,J6,K6,L6)</f>
        <v/>
      </c>
      <c r="T6">
        <f>IF(R6=0, -1, Q6/R6)</f>
        <v/>
      </c>
      <c r="U6">
        <f>IF(S6=0, -1, Q6/S6)</f>
        <v/>
      </c>
      <c r="V6">
        <f>IF(S6=0, -1, R6/S6)</f>
        <v/>
      </c>
    </row>
    <row r="7">
      <c r="A7" t="inlineStr">
        <is>
          <t>RC00014</t>
        </is>
      </c>
      <c r="B7" t="inlineStr">
        <is>
          <t>北京师范大学</t>
        </is>
      </c>
      <c r="C7" t="n">
        <v>0</v>
      </c>
      <c r="D7" t="n">
        <v>0</v>
      </c>
      <c r="E7" t="n">
        <v>0</v>
      </c>
      <c r="F7" t="n">
        <v>6</v>
      </c>
      <c r="G7" t="n">
        <v>8</v>
      </c>
      <c r="H7" t="n">
        <v>7</v>
      </c>
      <c r="I7" t="n">
        <v>11</v>
      </c>
      <c r="J7" t="n">
        <v>1</v>
      </c>
      <c r="K7" t="n">
        <v>1</v>
      </c>
      <c r="L7" t="n">
        <v>2</v>
      </c>
      <c r="M7" t="n">
        <v>61061.29850607101</v>
      </c>
      <c r="N7" t="n">
        <v>150.9917007354669</v>
      </c>
      <c r="O7">
        <f>IF(N7=0, 0, M7/N7)</f>
        <v/>
      </c>
      <c r="P7">
        <f>RANK(O7, O$2:O$518, 0)</f>
        <v/>
      </c>
      <c r="Q7">
        <f>SUM(C7,F7)</f>
        <v/>
      </c>
      <c r="R7">
        <f>SUM(Q7,G7,H7,D7,E7)</f>
        <v/>
      </c>
      <c r="S7">
        <f>SUM(R7,I7,J7,K7,L7)</f>
        <v/>
      </c>
      <c r="T7">
        <f>IF(R7=0, -1, Q7/R7)</f>
        <v/>
      </c>
      <c r="U7">
        <f>IF(S7=0, -1, Q7/S7)</f>
        <v/>
      </c>
      <c r="V7">
        <f>IF(S7=0, -1, R7/S7)</f>
        <v/>
      </c>
    </row>
    <row r="8">
      <c r="A8" t="inlineStr">
        <is>
          <t>RC00003</t>
        </is>
      </c>
      <c r="B8" t="inlineStr">
        <is>
          <t>浙江大学</t>
        </is>
      </c>
      <c r="C8" t="n">
        <v>0</v>
      </c>
      <c r="D8" t="n">
        <v>0</v>
      </c>
      <c r="E8" t="n">
        <v>0</v>
      </c>
      <c r="F8" t="n">
        <v>13</v>
      </c>
      <c r="G8" t="n">
        <v>17</v>
      </c>
      <c r="H8" t="n">
        <v>10</v>
      </c>
      <c r="I8" t="n">
        <v>13</v>
      </c>
      <c r="J8" t="n">
        <v>7</v>
      </c>
      <c r="K8" t="n">
        <v>1</v>
      </c>
      <c r="L8" t="n">
        <v>0</v>
      </c>
      <c r="M8" t="n">
        <v>111712.2042497095</v>
      </c>
      <c r="N8" t="n">
        <v>251.4733288219893</v>
      </c>
      <c r="O8">
        <f>IF(N8=0, 0, M8/N8)</f>
        <v/>
      </c>
      <c r="P8">
        <f>RANK(O8, O$2:O$518, 0)</f>
        <v/>
      </c>
      <c r="Q8">
        <f>SUM(C8,F8)</f>
        <v/>
      </c>
      <c r="R8">
        <f>SUM(Q8,G8,H8,D8,E8)</f>
        <v/>
      </c>
      <c r="S8">
        <f>SUM(R8,I8,J8,K8,L8)</f>
        <v/>
      </c>
      <c r="T8">
        <f>IF(R8=0, -1, Q8/R8)</f>
        <v/>
      </c>
      <c r="U8">
        <f>IF(S8=0, -1, Q8/S8)</f>
        <v/>
      </c>
      <c r="V8">
        <f>IF(S8=0, -1, R8/S8)</f>
        <v/>
      </c>
    </row>
    <row r="9">
      <c r="A9" t="inlineStr">
        <is>
          <t>RC00009</t>
        </is>
      </c>
      <c r="B9" t="inlineStr">
        <is>
          <t>南京大学</t>
        </is>
      </c>
      <c r="C9" t="n">
        <v>4</v>
      </c>
      <c r="D9" t="n">
        <v>0</v>
      </c>
      <c r="E9" t="n">
        <v>0</v>
      </c>
      <c r="F9" t="n">
        <v>4</v>
      </c>
      <c r="G9" t="n">
        <v>10</v>
      </c>
      <c r="H9" t="n">
        <v>14</v>
      </c>
      <c r="I9" t="n">
        <v>6</v>
      </c>
      <c r="J9" t="n">
        <v>7</v>
      </c>
      <c r="K9" t="n">
        <v>0</v>
      </c>
      <c r="L9" t="n">
        <v>0</v>
      </c>
      <c r="M9" t="n">
        <v>69059.52924994449</v>
      </c>
      <c r="N9" t="n">
        <v>188.3430678778623</v>
      </c>
      <c r="O9">
        <f>IF(N9=0, 0, M9/N9)</f>
        <v/>
      </c>
      <c r="P9">
        <f>RANK(O9, O$2:O$518, 0)</f>
        <v/>
      </c>
      <c r="Q9">
        <f>SUM(C9,F9)</f>
        <v/>
      </c>
      <c r="R9">
        <f>SUM(Q9,G9,H9,D9,E9)</f>
        <v/>
      </c>
      <c r="S9">
        <f>SUM(R9,I9,J9,K9,L9)</f>
        <v/>
      </c>
      <c r="T9">
        <f>IF(R9=0, -1, Q9/R9)</f>
        <v/>
      </c>
      <c r="U9">
        <f>IF(S9=0, -1, Q9/S9)</f>
        <v/>
      </c>
      <c r="V9">
        <f>IF(S9=0, -1, R9/S9)</f>
        <v/>
      </c>
    </row>
    <row r="10">
      <c r="A10" t="inlineStr">
        <is>
          <t>RC00020</t>
        </is>
      </c>
      <c r="B10" t="inlineStr">
        <is>
          <t>武汉大学</t>
        </is>
      </c>
      <c r="C10" t="n">
        <v>3</v>
      </c>
      <c r="D10" t="n">
        <v>0</v>
      </c>
      <c r="E10" t="n">
        <v>0</v>
      </c>
      <c r="F10" t="n">
        <v>3</v>
      </c>
      <c r="G10" t="n">
        <v>10</v>
      </c>
      <c r="H10" t="n">
        <v>8</v>
      </c>
      <c r="I10" t="n">
        <v>14</v>
      </c>
      <c r="J10" t="n">
        <v>10</v>
      </c>
      <c r="K10" t="n">
        <v>4</v>
      </c>
      <c r="L10" t="n">
        <v>3</v>
      </c>
      <c r="M10" t="n">
        <v>71263.68228473052</v>
      </c>
      <c r="N10" t="n">
        <v>230.5595322257952</v>
      </c>
      <c r="O10">
        <f>IF(N10=0, 0, M10/N10)</f>
        <v/>
      </c>
      <c r="P10">
        <f>RANK(O10, O$2:O$518, 0)</f>
        <v/>
      </c>
      <c r="Q10">
        <f>SUM(C10,F10)</f>
        <v/>
      </c>
      <c r="R10">
        <f>SUM(Q10,G10,H10,D10,E10)</f>
        <v/>
      </c>
      <c r="S10">
        <f>SUM(R10,I10,J10,K10,L10)</f>
        <v/>
      </c>
      <c r="T10">
        <f>IF(R10=0, -1, Q10/R10)</f>
        <v/>
      </c>
      <c r="U10">
        <f>IF(S10=0, -1, Q10/S10)</f>
        <v/>
      </c>
      <c r="V10">
        <f>IF(S10=0, -1, R10/S10)</f>
        <v/>
      </c>
    </row>
    <row r="11">
      <c r="A11" t="inlineStr">
        <is>
          <t>RC00031</t>
        </is>
      </c>
      <c r="B11" t="inlineStr">
        <is>
          <t>山东大学</t>
        </is>
      </c>
      <c r="C11" t="n">
        <v>0</v>
      </c>
      <c r="D11" t="n">
        <v>0</v>
      </c>
      <c r="E11" t="n">
        <v>1</v>
      </c>
      <c r="F11" t="n">
        <v>2</v>
      </c>
      <c r="G11" t="n">
        <v>10</v>
      </c>
      <c r="H11" t="n">
        <v>12</v>
      </c>
      <c r="I11" t="n">
        <v>11</v>
      </c>
      <c r="J11" t="n">
        <v>7</v>
      </c>
      <c r="K11" t="n">
        <v>5</v>
      </c>
      <c r="L11" t="n">
        <v>5</v>
      </c>
      <c r="M11" t="n">
        <v>62328.01353069328</v>
      </c>
      <c r="N11" t="n">
        <v>223.1736364420714</v>
      </c>
      <c r="O11">
        <f>IF(N11=0, 0, M11/N11)</f>
        <v/>
      </c>
      <c r="P11">
        <f>RANK(O11, O$2:O$518, 0)</f>
        <v/>
      </c>
      <c r="Q11">
        <f>SUM(C11,F11)</f>
        <v/>
      </c>
      <c r="R11">
        <f>SUM(Q11,G11,H11,D11,E11)</f>
        <v/>
      </c>
      <c r="S11">
        <f>SUM(R11,I11,J11,K11,L11)</f>
        <v/>
      </c>
      <c r="T11">
        <f>IF(R11=0, -1, Q11/R11)</f>
        <v/>
      </c>
      <c r="U11">
        <f>IF(S11=0, -1, Q11/S11)</f>
        <v/>
      </c>
      <c r="V11">
        <f>IF(S11=0, -1, R11/S11)</f>
        <v/>
      </c>
    </row>
    <row r="12">
      <c r="A12" t="inlineStr">
        <is>
          <t>RC00001</t>
        </is>
      </c>
      <c r="B12" t="inlineStr">
        <is>
          <t>清华大学</t>
        </is>
      </c>
      <c r="C12" t="n">
        <v>2</v>
      </c>
      <c r="D12" t="n">
        <v>0</v>
      </c>
      <c r="E12" t="n">
        <v>0</v>
      </c>
      <c r="F12" t="n">
        <v>20</v>
      </c>
      <c r="G12" t="n">
        <v>15</v>
      </c>
      <c r="H12" t="n">
        <v>8</v>
      </c>
      <c r="I12" t="n">
        <v>7</v>
      </c>
      <c r="J12" t="n">
        <v>4</v>
      </c>
      <c r="K12" t="n">
        <v>2</v>
      </c>
      <c r="L12" t="n">
        <v>0</v>
      </c>
      <c r="M12" t="n">
        <v>139514.4540717398</v>
      </c>
      <c r="N12" t="n">
        <v>240.3595952597743</v>
      </c>
      <c r="O12">
        <f>IF(N12=0, 0, M12/N12)</f>
        <v/>
      </c>
      <c r="P12">
        <f>RANK(O12, O$2:O$518, 0)</f>
        <v/>
      </c>
      <c r="Q12">
        <f>SUM(C12,F12)</f>
        <v/>
      </c>
      <c r="R12">
        <f>SUM(Q12,G12,H12,D12,E12)</f>
        <v/>
      </c>
      <c r="S12">
        <f>SUM(R12,I12,J12,K12,L12)</f>
        <v/>
      </c>
      <c r="T12">
        <f>IF(R12=0, -1, Q12/R12)</f>
        <v/>
      </c>
      <c r="U12">
        <f>IF(S12=0, -1, Q12/S12)</f>
        <v/>
      </c>
      <c r="V12">
        <f>IF(S12=0, -1, R12/S12)</f>
        <v/>
      </c>
    </row>
    <row r="13">
      <c r="A13" t="inlineStr">
        <is>
          <t>RC00103</t>
        </is>
      </c>
      <c r="B13" t="inlineStr">
        <is>
          <t>山西大学</t>
        </is>
      </c>
      <c r="C13" t="n">
        <v>0</v>
      </c>
      <c r="D13" t="n">
        <v>0</v>
      </c>
      <c r="E13" t="n">
        <v>0</v>
      </c>
      <c r="F13" t="n">
        <v>0</v>
      </c>
      <c r="G13" t="n">
        <v>1</v>
      </c>
      <c r="H13" t="n">
        <v>2</v>
      </c>
      <c r="I13" t="n">
        <v>2</v>
      </c>
      <c r="J13" t="n">
        <v>5</v>
      </c>
      <c r="K13" t="n">
        <v>3</v>
      </c>
      <c r="L13" t="n">
        <v>4</v>
      </c>
      <c r="M13" t="n">
        <v>12282.5544972612</v>
      </c>
      <c r="N13" t="n">
        <v>73.36200550999025</v>
      </c>
      <c r="O13">
        <f>IF(N13=0, 0, M13/N13)</f>
        <v/>
      </c>
      <c r="P13">
        <f>RANK(O13, O$2:O$518, 0)</f>
        <v/>
      </c>
      <c r="Q13">
        <f>SUM(C13,F13)</f>
        <v/>
      </c>
      <c r="R13">
        <f>SUM(Q13,G13,H13,D13,E13)</f>
        <v/>
      </c>
      <c r="S13">
        <f>SUM(R13,I13,J13,K13,L13)</f>
        <v/>
      </c>
      <c r="T13">
        <f>IF(R13=0, -1, Q13/R13)</f>
        <v/>
      </c>
      <c r="U13">
        <f>IF(S13=0, -1, Q13/S13)</f>
        <v/>
      </c>
      <c r="V13">
        <f>IF(S13=0, -1, R13/S13)</f>
        <v/>
      </c>
    </row>
    <row r="14">
      <c r="A14" t="inlineStr">
        <is>
          <t>RC00011</t>
        </is>
      </c>
      <c r="B14" t="inlineStr">
        <is>
          <t>四川大学</t>
        </is>
      </c>
      <c r="C14" t="n">
        <v>2</v>
      </c>
      <c r="D14" t="n">
        <v>1</v>
      </c>
      <c r="E14" t="n">
        <v>0</v>
      </c>
      <c r="F14" t="n">
        <v>2</v>
      </c>
      <c r="G14" t="n">
        <v>12</v>
      </c>
      <c r="H14" t="n">
        <v>6</v>
      </c>
      <c r="I14" t="n">
        <v>15</v>
      </c>
      <c r="J14" t="n">
        <v>7</v>
      </c>
      <c r="K14" t="n">
        <v>7</v>
      </c>
      <c r="L14" t="n">
        <v>4</v>
      </c>
      <c r="M14" t="n">
        <v>68635.60710485338</v>
      </c>
      <c r="N14" t="n">
        <v>228.6606170513037</v>
      </c>
      <c r="O14">
        <f>IF(N14=0, 0, M14/N14)</f>
        <v/>
      </c>
      <c r="P14">
        <f>RANK(O14, O$2:O$518, 0)</f>
        <v/>
      </c>
      <c r="Q14">
        <f>SUM(C14,F14)</f>
        <v/>
      </c>
      <c r="R14">
        <f>SUM(Q14,G14,H14,D14,E14)</f>
        <v/>
      </c>
      <c r="S14">
        <f>SUM(R14,I14,J14,K14,L14)</f>
        <v/>
      </c>
      <c r="T14">
        <f>IF(R14=0, -1, Q14/R14)</f>
        <v/>
      </c>
      <c r="U14">
        <f>IF(S14=0, -1, Q14/S14)</f>
        <v/>
      </c>
      <c r="V14">
        <f>IF(S14=0, -1, R14/S14)</f>
        <v/>
      </c>
    </row>
    <row r="15">
      <c r="A15" t="inlineStr">
        <is>
          <t>RC00025</t>
        </is>
      </c>
      <c r="B15" t="inlineStr">
        <is>
          <t>南开大学</t>
        </is>
      </c>
      <c r="C15" t="n">
        <v>0</v>
      </c>
      <c r="D15" t="n">
        <v>0</v>
      </c>
      <c r="E15" t="n">
        <v>0</v>
      </c>
      <c r="F15" t="n">
        <v>4</v>
      </c>
      <c r="G15" t="n">
        <v>7</v>
      </c>
      <c r="H15" t="n">
        <v>8</v>
      </c>
      <c r="I15" t="n">
        <v>5</v>
      </c>
      <c r="J15" t="n">
        <v>4</v>
      </c>
      <c r="K15" t="n">
        <v>3</v>
      </c>
      <c r="L15" t="n">
        <v>2</v>
      </c>
      <c r="M15" t="n">
        <v>46847.87286945291</v>
      </c>
      <c r="N15" t="n">
        <v>144.1373145558954</v>
      </c>
      <c r="O15">
        <f>IF(N15=0, 0, M15/N15)</f>
        <v/>
      </c>
      <c r="P15">
        <f>RANK(O15, O$2:O$518, 0)</f>
        <v/>
      </c>
      <c r="Q15">
        <f>SUM(C15,F15)</f>
        <v/>
      </c>
      <c r="R15">
        <f>SUM(Q15,G15,H15,D15,E15)</f>
        <v/>
      </c>
      <c r="S15">
        <f>SUM(R15,I15,J15,K15,L15)</f>
        <v/>
      </c>
      <c r="T15">
        <f>IF(R15=0, -1, Q15/R15)</f>
        <v/>
      </c>
      <c r="U15">
        <f>IF(S15=0, -1, Q15/S15)</f>
        <v/>
      </c>
      <c r="V15">
        <f>IF(S15=0, -1, R15/S15)</f>
        <v/>
      </c>
    </row>
    <row r="16">
      <c r="A16" t="inlineStr">
        <is>
          <t>RC00017</t>
        </is>
      </c>
      <c r="B16" t="inlineStr">
        <is>
          <t>吉林大学</t>
        </is>
      </c>
      <c r="C16" t="n">
        <v>0</v>
      </c>
      <c r="D16" t="n">
        <v>0</v>
      </c>
      <c r="E16" t="n">
        <v>0</v>
      </c>
      <c r="F16" t="n">
        <v>2</v>
      </c>
      <c r="G16" t="n">
        <v>4</v>
      </c>
      <c r="H16" t="n">
        <v>11</v>
      </c>
      <c r="I16" t="n">
        <v>10</v>
      </c>
      <c r="J16" t="n">
        <v>14</v>
      </c>
      <c r="K16" t="n">
        <v>8</v>
      </c>
      <c r="L16" t="n">
        <v>8</v>
      </c>
      <c r="M16" t="n">
        <v>52412.75448824536</v>
      </c>
      <c r="N16" t="n">
        <v>232.7383670109009</v>
      </c>
      <c r="O16">
        <f>IF(N16=0, 0, M16/N16)</f>
        <v/>
      </c>
      <c r="P16">
        <f>RANK(O16, O$2:O$518, 0)</f>
        <v/>
      </c>
      <c r="Q16">
        <f>SUM(C16,F16)</f>
        <v/>
      </c>
      <c r="R16">
        <f>SUM(Q16,G16,H16,D16,E16)</f>
        <v/>
      </c>
      <c r="S16">
        <f>SUM(R16,I16,J16,K16,L16)</f>
        <v/>
      </c>
      <c r="T16">
        <f>IF(R16=0, -1, Q16/R16)</f>
        <v/>
      </c>
      <c r="U16">
        <f>IF(S16=0, -1, Q16/S16)</f>
        <v/>
      </c>
      <c r="V16">
        <f>IF(S16=0, -1, R16/S16)</f>
        <v/>
      </c>
    </row>
    <row r="17">
      <c r="A17" t="inlineStr">
        <is>
          <t>RC00018</t>
        </is>
      </c>
      <c r="B17" t="inlineStr">
        <is>
          <t>东南大学</t>
        </is>
      </c>
      <c r="C17" t="n">
        <v>1</v>
      </c>
      <c r="D17" t="n">
        <v>0</v>
      </c>
      <c r="E17" t="n">
        <v>0</v>
      </c>
      <c r="F17" t="n">
        <v>5</v>
      </c>
      <c r="G17" t="n">
        <v>6</v>
      </c>
      <c r="H17" t="n">
        <v>9</v>
      </c>
      <c r="I17" t="n">
        <v>5</v>
      </c>
      <c r="J17" t="n">
        <v>6</v>
      </c>
      <c r="K17" t="n">
        <v>8</v>
      </c>
      <c r="L17" t="n">
        <v>3</v>
      </c>
      <c r="M17" t="n">
        <v>54049.55954096634</v>
      </c>
      <c r="N17" t="n">
        <v>186.4170901885923</v>
      </c>
      <c r="O17">
        <f>IF(N17=0, 0, M17/N17)</f>
        <v/>
      </c>
      <c r="P17">
        <f>RANK(O17, O$2:O$518, 0)</f>
        <v/>
      </c>
      <c r="Q17">
        <f>SUM(C17,F17)</f>
        <v/>
      </c>
      <c r="R17">
        <f>SUM(Q17,G17,H17,D17,E17)</f>
        <v/>
      </c>
      <c r="S17">
        <f>SUM(R17,I17,J17,K17,L17)</f>
        <v/>
      </c>
      <c r="T17">
        <f>IF(R17=0, -1, Q17/R17)</f>
        <v/>
      </c>
      <c r="U17">
        <f>IF(S17=0, -1, Q17/S17)</f>
        <v/>
      </c>
      <c r="V17">
        <f>IF(S17=0, -1, R17/S17)</f>
        <v/>
      </c>
    </row>
    <row r="18">
      <c r="A18" t="inlineStr">
        <is>
          <t>RC00030</t>
        </is>
      </c>
      <c r="B18" t="inlineStr">
        <is>
          <t>厦门大学</t>
        </is>
      </c>
      <c r="C18" t="n">
        <v>1</v>
      </c>
      <c r="D18" t="n">
        <v>0</v>
      </c>
      <c r="E18" t="n">
        <v>0</v>
      </c>
      <c r="F18" t="n">
        <v>3</v>
      </c>
      <c r="G18" t="n">
        <v>6</v>
      </c>
      <c r="H18" t="n">
        <v>7</v>
      </c>
      <c r="I18" t="n">
        <v>11</v>
      </c>
      <c r="J18" t="n">
        <v>6</v>
      </c>
      <c r="K18" t="n">
        <v>4</v>
      </c>
      <c r="L18" t="n">
        <v>2</v>
      </c>
      <c r="M18" t="n">
        <v>49400.61746232794</v>
      </c>
      <c r="N18" t="n">
        <v>173.2203015741424</v>
      </c>
      <c r="O18">
        <f>IF(N18=0, 0, M18/N18)</f>
        <v/>
      </c>
      <c r="P18">
        <f>RANK(O18, O$2:O$518, 0)</f>
        <v/>
      </c>
      <c r="Q18">
        <f>SUM(C18,F18)</f>
        <v/>
      </c>
      <c r="R18">
        <f>SUM(Q18,G18,H18,D18,E18)</f>
        <v/>
      </c>
      <c r="S18">
        <f>SUM(R18,I18,J18,K18,L18)</f>
        <v/>
      </c>
      <c r="T18">
        <f>IF(R18=0, -1, Q18/R18)</f>
        <v/>
      </c>
      <c r="U18">
        <f>IF(S18=0, -1, Q18/S18)</f>
        <v/>
      </c>
      <c r="V18">
        <f>IF(S18=0, -1, R18/S18)</f>
        <v/>
      </c>
    </row>
    <row r="19">
      <c r="A19" t="inlineStr">
        <is>
          <t>RC00121</t>
        </is>
      </c>
      <c r="B19" t="inlineStr">
        <is>
          <t>湖南师范大学</t>
        </is>
      </c>
      <c r="C19" t="n">
        <v>0</v>
      </c>
      <c r="D19" t="n">
        <v>0</v>
      </c>
      <c r="E19" t="n">
        <v>0</v>
      </c>
      <c r="F19" t="n">
        <v>0</v>
      </c>
      <c r="G19" t="n">
        <v>1</v>
      </c>
      <c r="H19" t="n">
        <v>3</v>
      </c>
      <c r="I19" t="n">
        <v>8</v>
      </c>
      <c r="J19" t="n">
        <v>7</v>
      </c>
      <c r="K19" t="n">
        <v>4</v>
      </c>
      <c r="L19" t="n">
        <v>5</v>
      </c>
      <c r="M19" t="n">
        <v>15930.77710248483</v>
      </c>
      <c r="N19" t="n">
        <v>124.2548735998204</v>
      </c>
      <c r="O19">
        <f>IF(N19=0, 0, M19/N19)</f>
        <v/>
      </c>
      <c r="P19">
        <f>RANK(O19, O$2:O$518, 0)</f>
        <v/>
      </c>
      <c r="Q19">
        <f>SUM(C19,F19)</f>
        <v/>
      </c>
      <c r="R19">
        <f>SUM(Q19,G19,H19,D19,E19)</f>
        <v/>
      </c>
      <c r="S19">
        <f>SUM(R19,I19,J19,K19,L19)</f>
        <v/>
      </c>
      <c r="T19">
        <f>IF(R19=0, -1, Q19/R19)</f>
        <v/>
      </c>
      <c r="U19">
        <f>IF(S19=0, -1, Q19/S19)</f>
        <v/>
      </c>
      <c r="V19">
        <f>IF(S19=0, -1, R19/S19)</f>
        <v/>
      </c>
    </row>
    <row r="20">
      <c r="A20" t="inlineStr">
        <is>
          <t>RC00026</t>
        </is>
      </c>
      <c r="B20" t="inlineStr">
        <is>
          <t>同济大学</t>
        </is>
      </c>
      <c r="C20" t="n">
        <v>0</v>
      </c>
      <c r="D20" t="n">
        <v>1</v>
      </c>
      <c r="E20" t="n">
        <v>0</v>
      </c>
      <c r="F20" t="n">
        <v>4</v>
      </c>
      <c r="G20" t="n">
        <v>4</v>
      </c>
      <c r="H20" t="n">
        <v>10</v>
      </c>
      <c r="I20" t="n">
        <v>9</v>
      </c>
      <c r="J20" t="n">
        <v>6</v>
      </c>
      <c r="K20" t="n">
        <v>5</v>
      </c>
      <c r="L20" t="n">
        <v>2</v>
      </c>
      <c r="M20" t="n">
        <v>51427.78091673076</v>
      </c>
      <c r="N20" t="n">
        <v>176.5106058143329</v>
      </c>
      <c r="O20">
        <f>IF(N20=0, 0, M20/N20)</f>
        <v/>
      </c>
      <c r="P20">
        <f>RANK(O20, O$2:O$518, 0)</f>
        <v/>
      </c>
      <c r="Q20">
        <f>SUM(C20,F20)</f>
        <v/>
      </c>
      <c r="R20">
        <f>SUM(Q20,G20,H20,D20,E20)</f>
        <v/>
      </c>
      <c r="S20">
        <f>SUM(R20,I20,J20,K20,L20)</f>
        <v/>
      </c>
      <c r="T20">
        <f>IF(R20=0, -1, Q20/R20)</f>
        <v/>
      </c>
      <c r="U20">
        <f>IF(S20=0, -1, Q20/S20)</f>
        <v/>
      </c>
      <c r="V20">
        <f>IF(S20=0, -1, R20/S20)</f>
        <v/>
      </c>
    </row>
    <row r="21">
      <c r="A21" t="inlineStr">
        <is>
          <t>RC00010</t>
        </is>
      </c>
      <c r="B21" t="inlineStr">
        <is>
          <t>华中科技大学</t>
        </is>
      </c>
      <c r="C21" t="n">
        <v>0</v>
      </c>
      <c r="D21" t="n">
        <v>0</v>
      </c>
      <c r="E21" t="n">
        <v>0</v>
      </c>
      <c r="F21" t="n">
        <v>5</v>
      </c>
      <c r="G21" t="n">
        <v>7</v>
      </c>
      <c r="H21" t="n">
        <v>11</v>
      </c>
      <c r="I21" t="n">
        <v>12</v>
      </c>
      <c r="J21" t="n">
        <v>5</v>
      </c>
      <c r="K21" t="n">
        <v>3</v>
      </c>
      <c r="L21" t="n">
        <v>2</v>
      </c>
      <c r="M21" t="n">
        <v>63106.45127371164</v>
      </c>
      <c r="N21" t="n">
        <v>192.5510547983076</v>
      </c>
      <c r="O21">
        <f>IF(N21=0, 0, M21/N21)</f>
        <v/>
      </c>
      <c r="P21">
        <f>RANK(O21, O$2:O$518, 0)</f>
        <v/>
      </c>
      <c r="Q21">
        <f>SUM(C21,F21)</f>
        <v/>
      </c>
      <c r="R21">
        <f>SUM(Q21,G21,H21,D21,E21)</f>
        <v/>
      </c>
      <c r="S21">
        <f>SUM(R21,I21,J21,K21,L21)</f>
        <v/>
      </c>
      <c r="T21">
        <f>IF(R21=0, -1, Q21/R21)</f>
        <v/>
      </c>
      <c r="U21">
        <f>IF(S21=0, -1, Q21/S21)</f>
        <v/>
      </c>
      <c r="V21">
        <f>IF(S21=0, -1, R21/S21)</f>
        <v/>
      </c>
    </row>
    <row r="22">
      <c r="A22" t="inlineStr">
        <is>
          <t>RC00033</t>
        </is>
      </c>
      <c r="B22" t="inlineStr">
        <is>
          <t>湖南大学</t>
        </is>
      </c>
      <c r="C22" t="n">
        <v>0</v>
      </c>
      <c r="D22" t="n">
        <v>0</v>
      </c>
      <c r="E22" t="n">
        <v>0</v>
      </c>
      <c r="F22" t="n">
        <v>1</v>
      </c>
      <c r="G22" t="n">
        <v>7</v>
      </c>
      <c r="H22" t="n">
        <v>2</v>
      </c>
      <c r="I22" t="n">
        <v>13</v>
      </c>
      <c r="J22" t="n">
        <v>7</v>
      </c>
      <c r="K22" t="n">
        <v>3</v>
      </c>
      <c r="L22" t="n">
        <v>1</v>
      </c>
      <c r="M22" t="n">
        <v>36100.61488589917</v>
      </c>
      <c r="N22" t="n">
        <v>151.6988135570417</v>
      </c>
      <c r="O22">
        <f>IF(N22=0, 0, M22/N22)</f>
        <v/>
      </c>
      <c r="P22">
        <f>RANK(O22, O$2:O$518, 0)</f>
        <v/>
      </c>
      <c r="Q22">
        <f>SUM(C22,F22)</f>
        <v/>
      </c>
      <c r="R22">
        <f>SUM(Q22,G22,H22,D22,E22)</f>
        <v/>
      </c>
      <c r="S22">
        <f>SUM(R22,I22,J22,K22,L22)</f>
        <v/>
      </c>
      <c r="T22">
        <f>IF(R22=0, -1, Q22/R22)</f>
        <v/>
      </c>
      <c r="U22">
        <f>IF(S22=0, -1, Q22/S22)</f>
        <v/>
      </c>
      <c r="V22">
        <f>IF(S22=0, -1, R22/S22)</f>
        <v/>
      </c>
    </row>
    <row r="23">
      <c r="A23" t="inlineStr">
        <is>
          <t>RC00110</t>
        </is>
      </c>
      <c r="B23" t="inlineStr">
        <is>
          <t>华南师范大学</t>
        </is>
      </c>
      <c r="C23" t="n">
        <v>0</v>
      </c>
      <c r="D23" t="n">
        <v>0</v>
      </c>
      <c r="E23" t="n">
        <v>0</v>
      </c>
      <c r="F23" t="n">
        <v>1</v>
      </c>
      <c r="G23" t="n">
        <v>2</v>
      </c>
      <c r="H23" t="n">
        <v>3</v>
      </c>
      <c r="I23" t="n">
        <v>6</v>
      </c>
      <c r="J23" t="n">
        <v>7</v>
      </c>
      <c r="K23" t="n">
        <v>7</v>
      </c>
      <c r="L23" t="n">
        <v>4</v>
      </c>
      <c r="M23" t="n">
        <v>18656.31136472517</v>
      </c>
      <c r="N23" t="n">
        <v>133.7774132911217</v>
      </c>
      <c r="O23">
        <f>IF(N23=0, 0, M23/N23)</f>
        <v/>
      </c>
      <c r="P23">
        <f>RANK(O23, O$2:O$518, 0)</f>
        <v/>
      </c>
      <c r="Q23">
        <f>SUM(C23,F23)</f>
        <v/>
      </c>
      <c r="R23">
        <f>SUM(Q23,G23,H23,D23,E23)</f>
        <v/>
      </c>
      <c r="S23">
        <f>SUM(R23,I23,J23,K23,L23)</f>
        <v/>
      </c>
      <c r="T23">
        <f>IF(R23=0, -1, Q23/R23)</f>
        <v/>
      </c>
      <c r="U23">
        <f>IF(S23=0, -1, Q23/S23)</f>
        <v/>
      </c>
      <c r="V23">
        <f>IF(S23=0, -1, R23/S23)</f>
        <v/>
      </c>
    </row>
    <row r="24">
      <c r="A24" t="inlineStr">
        <is>
          <t>RC00133</t>
        </is>
      </c>
      <c r="B24" t="inlineStr">
        <is>
          <t>首都师范大学</t>
        </is>
      </c>
      <c r="C24" t="n">
        <v>0</v>
      </c>
      <c r="D24" t="n">
        <v>0</v>
      </c>
      <c r="E24" t="n">
        <v>0</v>
      </c>
      <c r="F24" t="n">
        <v>0</v>
      </c>
      <c r="G24" t="n">
        <v>2</v>
      </c>
      <c r="H24" t="n">
        <v>4</v>
      </c>
      <c r="I24" t="n">
        <v>4</v>
      </c>
      <c r="J24" t="n">
        <v>2</v>
      </c>
      <c r="K24" t="n">
        <v>3</v>
      </c>
      <c r="L24" t="n">
        <v>5</v>
      </c>
      <c r="M24" t="n">
        <v>14126.74817658308</v>
      </c>
      <c r="N24" t="n">
        <v>87.19663983310573</v>
      </c>
      <c r="O24">
        <f>IF(N24=0, 0, M24/N24)</f>
        <v/>
      </c>
      <c r="P24">
        <f>RANK(O24, O$2:O$518, 0)</f>
        <v/>
      </c>
      <c r="Q24">
        <f>SUM(C24,F24)</f>
        <v/>
      </c>
      <c r="R24">
        <f>SUM(Q24,G24,H24,D24,E24)</f>
        <v/>
      </c>
      <c r="S24">
        <f>SUM(R24,I24,J24,K24,L24)</f>
        <v/>
      </c>
      <c r="T24">
        <f>IF(R24=0, -1, Q24/R24)</f>
        <v/>
      </c>
      <c r="U24">
        <f>IF(S24=0, -1, Q24/S24)</f>
        <v/>
      </c>
      <c r="V24">
        <f>IF(S24=0, -1, R24/S24)</f>
        <v/>
      </c>
    </row>
    <row r="25">
      <c r="A25" t="inlineStr">
        <is>
          <t>RC00154</t>
        </is>
      </c>
      <c r="B25" t="inlineStr">
        <is>
          <t>中央民族大学</t>
        </is>
      </c>
      <c r="C25" t="n">
        <v>1</v>
      </c>
      <c r="D25" t="n">
        <v>0</v>
      </c>
      <c r="E25" t="n">
        <v>0</v>
      </c>
      <c r="F25" t="n">
        <v>2</v>
      </c>
      <c r="G25" t="n">
        <v>0</v>
      </c>
      <c r="H25" t="n">
        <v>1</v>
      </c>
      <c r="I25" t="n">
        <v>2</v>
      </c>
      <c r="J25" t="n">
        <v>8</v>
      </c>
      <c r="K25" t="n">
        <v>1</v>
      </c>
      <c r="L25" t="n">
        <v>5</v>
      </c>
      <c r="M25" t="n">
        <v>14832.13269970795</v>
      </c>
      <c r="N25" t="n">
        <v>87.01119660800622</v>
      </c>
      <c r="O25">
        <f>IF(N25=0, 0, M25/N25)</f>
        <v/>
      </c>
      <c r="P25">
        <f>RANK(O25, O$2:O$518, 0)</f>
        <v/>
      </c>
      <c r="Q25">
        <f>SUM(C25,F25)</f>
        <v/>
      </c>
      <c r="R25">
        <f>SUM(Q25,G25,H25,D25,E25)</f>
        <v/>
      </c>
      <c r="S25">
        <f>SUM(R25,I25,J25,K25,L25)</f>
        <v/>
      </c>
      <c r="T25">
        <f>IF(R25=0, -1, Q25/R25)</f>
        <v/>
      </c>
      <c r="U25">
        <f>IF(S25=0, -1, Q25/S25)</f>
        <v/>
      </c>
      <c r="V25">
        <f>IF(S25=0, -1, R25/S25)</f>
        <v/>
      </c>
    </row>
    <row r="26">
      <c r="A26" t="inlineStr">
        <is>
          <t>RC00304</t>
        </is>
      </c>
      <c r="B26" t="inlineStr">
        <is>
          <t>黑龙江大学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n">
        <v>2</v>
      </c>
      <c r="J26" t="n">
        <v>1</v>
      </c>
      <c r="K26" t="n">
        <v>2</v>
      </c>
      <c r="L26" t="n">
        <v>3</v>
      </c>
      <c r="M26" t="n">
        <v>4085.594747320085</v>
      </c>
      <c r="N26" t="n">
        <v>39.77364247940774</v>
      </c>
      <c r="O26">
        <f>IF(N26=0, 0, M26/N26)</f>
        <v/>
      </c>
      <c r="P26">
        <f>RANK(O26, O$2:O$518, 0)</f>
        <v/>
      </c>
      <c r="Q26">
        <f>SUM(C26,F26)</f>
        <v/>
      </c>
      <c r="R26">
        <f>SUM(Q26,G26,H26,D26,E26)</f>
        <v/>
      </c>
      <c r="S26">
        <f>SUM(R26,I26,J26,K26,L26)</f>
        <v/>
      </c>
      <c r="T26">
        <f>IF(R26=0, -1, Q26/R26)</f>
        <v/>
      </c>
      <c r="U26">
        <f>IF(S26=0, -1, Q26/S26)</f>
        <v/>
      </c>
      <c r="V26">
        <f>IF(S26=0, -1, R26/S26)</f>
        <v/>
      </c>
    </row>
    <row r="27">
      <c r="A27" t="inlineStr">
        <is>
          <t>RC00155</t>
        </is>
      </c>
      <c r="B27" t="inlineStr">
        <is>
          <t>中国政法大学</t>
        </is>
      </c>
      <c r="C27" t="n">
        <v>0</v>
      </c>
      <c r="D27" t="n">
        <v>0</v>
      </c>
      <c r="E27" t="n">
        <v>0</v>
      </c>
      <c r="F27" t="n">
        <v>1</v>
      </c>
      <c r="G27" t="n">
        <v>0</v>
      </c>
      <c r="H27" t="n">
        <v>1</v>
      </c>
      <c r="I27" t="n">
        <v>1</v>
      </c>
      <c r="J27" t="n">
        <v>0</v>
      </c>
      <c r="K27" t="n">
        <v>3</v>
      </c>
      <c r="L27" t="n">
        <v>2</v>
      </c>
      <c r="M27" t="n">
        <v>8418.730358793613</v>
      </c>
      <c r="N27" t="n">
        <v>35.87458567449964</v>
      </c>
      <c r="O27">
        <f>IF(N27=0, 0, M27/N27)</f>
        <v/>
      </c>
      <c r="P27">
        <f>RANK(O27, O$2:O$518, 0)</f>
        <v/>
      </c>
      <c r="Q27">
        <f>SUM(C27,F27)</f>
        <v/>
      </c>
      <c r="R27">
        <f>SUM(Q27,G27,H27,D27,E27)</f>
        <v/>
      </c>
      <c r="S27">
        <f>SUM(R27,I27,J27,K27,L27)</f>
        <v/>
      </c>
      <c r="T27">
        <f>IF(R27=0, -1, Q27/R27)</f>
        <v/>
      </c>
      <c r="U27">
        <f>IF(S27=0, -1, Q27/S27)</f>
        <v/>
      </c>
      <c r="V27">
        <f>IF(S27=0, -1, R27/S27)</f>
        <v/>
      </c>
    </row>
    <row r="28">
      <c r="A28" t="inlineStr">
        <is>
          <t>RC00016</t>
        </is>
      </c>
      <c r="B28" t="inlineStr">
        <is>
          <t>大连理工大学</t>
        </is>
      </c>
      <c r="C28" t="n">
        <v>0</v>
      </c>
      <c r="D28" t="n">
        <v>0</v>
      </c>
      <c r="E28" t="n">
        <v>1</v>
      </c>
      <c r="F28" t="n">
        <v>1</v>
      </c>
      <c r="G28" t="n">
        <v>8</v>
      </c>
      <c r="H28" t="n">
        <v>5</v>
      </c>
      <c r="I28" t="n">
        <v>7</v>
      </c>
      <c r="J28" t="n">
        <v>7</v>
      </c>
      <c r="K28" t="n">
        <v>1</v>
      </c>
      <c r="L28" t="n">
        <v>2</v>
      </c>
      <c r="M28" t="n">
        <v>38950.10649455323</v>
      </c>
      <c r="N28" t="n">
        <v>137.3785952381767</v>
      </c>
      <c r="O28">
        <f>IF(N28=0, 0, M28/N28)</f>
        <v/>
      </c>
      <c r="P28">
        <f>RANK(O28, O$2:O$518, 0)</f>
        <v/>
      </c>
      <c r="Q28">
        <f>SUM(C28,F28)</f>
        <v/>
      </c>
      <c r="R28">
        <f>SUM(Q28,G28,H28,D28,E28)</f>
        <v/>
      </c>
      <c r="S28">
        <f>SUM(R28,I28,J28,K28,L28)</f>
        <v/>
      </c>
      <c r="T28">
        <f>IF(R28=0, -1, Q28/R28)</f>
        <v/>
      </c>
      <c r="U28">
        <f>IF(S28=0, -1, Q28/S28)</f>
        <v/>
      </c>
      <c r="V28">
        <f>IF(S28=0, -1, R28/S28)</f>
        <v/>
      </c>
    </row>
    <row r="29">
      <c r="A29" t="inlineStr">
        <is>
          <t>RC00019</t>
        </is>
      </c>
      <c r="B29" t="inlineStr">
        <is>
          <t>苏州大学</t>
        </is>
      </c>
      <c r="C29" t="n">
        <v>1</v>
      </c>
      <c r="D29" t="n">
        <v>0</v>
      </c>
      <c r="E29" t="n">
        <v>0</v>
      </c>
      <c r="F29" t="n">
        <v>0</v>
      </c>
      <c r="G29" t="n">
        <v>0</v>
      </c>
      <c r="H29" t="n">
        <v>3</v>
      </c>
      <c r="I29" t="n">
        <v>13</v>
      </c>
      <c r="J29" t="n">
        <v>13</v>
      </c>
      <c r="K29" t="n">
        <v>6</v>
      </c>
      <c r="L29" t="n">
        <v>5</v>
      </c>
      <c r="M29" t="n">
        <v>26300.66887331555</v>
      </c>
      <c r="N29" t="n">
        <v>176.3006638049155</v>
      </c>
      <c r="O29">
        <f>IF(N29=0, 0, M29/N29)</f>
        <v/>
      </c>
      <c r="P29">
        <f>RANK(O29, O$2:O$518, 0)</f>
        <v/>
      </c>
      <c r="Q29">
        <f>SUM(C29,F29)</f>
        <v/>
      </c>
      <c r="R29">
        <f>SUM(Q29,G29,H29,D29,E29)</f>
        <v/>
      </c>
      <c r="S29">
        <f>SUM(R29,I29,J29,K29,L29)</f>
        <v/>
      </c>
      <c r="T29">
        <f>IF(R29=0, -1, Q29/R29)</f>
        <v/>
      </c>
      <c r="U29">
        <f>IF(S29=0, -1, Q29/S29)</f>
        <v/>
      </c>
      <c r="V29">
        <f>IF(S29=0, -1, R29/S29)</f>
        <v/>
      </c>
    </row>
    <row r="30">
      <c r="A30" t="inlineStr">
        <is>
          <t>RC00012</t>
        </is>
      </c>
      <c r="B30" t="inlineStr">
        <is>
          <t>西安交通大学</t>
        </is>
      </c>
      <c r="C30" t="n">
        <v>2</v>
      </c>
      <c r="D30" t="n">
        <v>0</v>
      </c>
      <c r="E30" t="n">
        <v>0</v>
      </c>
      <c r="F30" t="n">
        <v>5</v>
      </c>
      <c r="G30" t="n">
        <v>9</v>
      </c>
      <c r="H30" t="n">
        <v>5</v>
      </c>
      <c r="I30" t="n">
        <v>8</v>
      </c>
      <c r="J30" t="n">
        <v>7</v>
      </c>
      <c r="K30" t="n">
        <v>4</v>
      </c>
      <c r="L30" t="n">
        <v>1</v>
      </c>
      <c r="M30" t="n">
        <v>59904.22885676412</v>
      </c>
      <c r="N30" t="n">
        <v>174.2945004289471</v>
      </c>
      <c r="O30">
        <f>IF(N30=0, 0, M30/N30)</f>
        <v/>
      </c>
      <c r="P30">
        <f>RANK(O30, O$2:O$518, 0)</f>
        <v/>
      </c>
      <c r="Q30">
        <f>SUM(C30,F30)</f>
        <v/>
      </c>
      <c r="R30">
        <f>SUM(Q30,G30,H30,D30,E30)</f>
        <v/>
      </c>
      <c r="S30">
        <f>SUM(R30,I30,J30,K30,L30)</f>
        <v/>
      </c>
      <c r="T30">
        <f>IF(R30=0, -1, Q30/R30)</f>
        <v/>
      </c>
      <c r="U30">
        <f>IF(S30=0, -1, Q30/S30)</f>
        <v/>
      </c>
      <c r="V30">
        <f>IF(S30=0, -1, R30/S30)</f>
        <v/>
      </c>
    </row>
    <row r="31">
      <c r="A31" t="inlineStr">
        <is>
          <t>RC00112</t>
        </is>
      </c>
      <c r="B31" t="inlineStr">
        <is>
          <t>陕西师范大学</t>
        </is>
      </c>
      <c r="C31" t="n">
        <v>0</v>
      </c>
      <c r="D31" t="n">
        <v>0</v>
      </c>
      <c r="E31" t="n">
        <v>0</v>
      </c>
      <c r="F31" t="n">
        <v>0</v>
      </c>
      <c r="G31" t="n">
        <v>4</v>
      </c>
      <c r="H31" t="n">
        <v>2</v>
      </c>
      <c r="I31" t="n">
        <v>7</v>
      </c>
      <c r="J31" t="n">
        <v>6</v>
      </c>
      <c r="K31" t="n">
        <v>5</v>
      </c>
      <c r="L31" t="n">
        <v>4</v>
      </c>
      <c r="M31" t="n">
        <v>20532.50953759657</v>
      </c>
      <c r="N31" t="n">
        <v>124.5395713570292</v>
      </c>
      <c r="O31">
        <f>IF(N31=0, 0, M31/N31)</f>
        <v/>
      </c>
      <c r="P31">
        <f>RANK(O31, O$2:O$518, 0)</f>
        <v/>
      </c>
      <c r="Q31">
        <f>SUM(C31,F31)</f>
        <v/>
      </c>
      <c r="R31">
        <f>SUM(Q31,G31,H31,D31,E31)</f>
        <v/>
      </c>
      <c r="S31">
        <f>SUM(R31,I31,J31,K31,L31)</f>
        <v/>
      </c>
      <c r="T31">
        <f>IF(R31=0, -1, Q31/R31)</f>
        <v/>
      </c>
      <c r="U31">
        <f>IF(S31=0, -1, Q31/S31)</f>
        <v/>
      </c>
      <c r="V31">
        <f>IF(S31=0, -1, R31/S31)</f>
        <v/>
      </c>
    </row>
    <row r="32">
      <c r="A32" t="inlineStr">
        <is>
          <t>RC00111</t>
        </is>
      </c>
      <c r="B32" t="inlineStr">
        <is>
          <t>贵州大学</t>
        </is>
      </c>
      <c r="C32" t="n">
        <v>1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n">
        <v>1</v>
      </c>
      <c r="J32" t="n">
        <v>6</v>
      </c>
      <c r="K32" t="n">
        <v>9</v>
      </c>
      <c r="L32" t="n">
        <v>12</v>
      </c>
      <c r="M32" t="n">
        <v>12659.26886281722</v>
      </c>
      <c r="N32" t="n">
        <v>127.9550993357444</v>
      </c>
      <c r="O32">
        <f>IF(N32=0, 0, M32/N32)</f>
        <v/>
      </c>
      <c r="P32">
        <f>RANK(O32, O$2:O$518, 0)</f>
        <v/>
      </c>
      <c r="Q32">
        <f>SUM(C32,F32)</f>
        <v/>
      </c>
      <c r="R32">
        <f>SUM(Q32,G32,H32,D32,E32)</f>
        <v/>
      </c>
      <c r="S32">
        <f>SUM(R32,I32,J32,K32,L32)</f>
        <v/>
      </c>
      <c r="T32">
        <f>IF(R32=0, -1, Q32/R32)</f>
        <v/>
      </c>
      <c r="U32">
        <f>IF(S32=0, -1, Q32/S32)</f>
        <v/>
      </c>
      <c r="V32">
        <f>IF(S32=0, -1, R32/S32)</f>
        <v/>
      </c>
    </row>
    <row r="33">
      <c r="A33" t="inlineStr">
        <is>
          <t>RC00059</t>
        </is>
      </c>
      <c r="B33" t="inlineStr">
        <is>
          <t>郑州大学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7</v>
      </c>
      <c r="I33" t="n">
        <v>6</v>
      </c>
      <c r="J33" t="n">
        <v>18</v>
      </c>
      <c r="K33" t="n">
        <v>10</v>
      </c>
      <c r="L33" t="n">
        <v>7</v>
      </c>
      <c r="M33" t="n">
        <v>27809.17283140951</v>
      </c>
      <c r="N33" t="n">
        <v>205.2450392808213</v>
      </c>
      <c r="O33">
        <f>IF(N33=0, 0, M33/N33)</f>
        <v/>
      </c>
      <c r="P33">
        <f>RANK(O33, O$2:O$518, 0)</f>
        <v/>
      </c>
      <c r="Q33">
        <f>SUM(C33,F33)</f>
        <v/>
      </c>
      <c r="R33">
        <f>SUM(Q33,G33,H33,D33,E33)</f>
        <v/>
      </c>
      <c r="S33">
        <f>SUM(R33,I33,J33,K33,L33)</f>
        <v/>
      </c>
      <c r="T33">
        <f>IF(R33=0, -1, Q33/R33)</f>
        <v/>
      </c>
      <c r="U33">
        <f>IF(S33=0, -1, Q33/S33)</f>
        <v/>
      </c>
      <c r="V33">
        <f>IF(S33=0, -1, R33/S33)</f>
        <v/>
      </c>
    </row>
    <row r="34">
      <c r="A34" t="inlineStr">
        <is>
          <t>RC00543</t>
        </is>
      </c>
      <c r="B34" t="inlineStr">
        <is>
          <t>湖北大学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1</v>
      </c>
      <c r="J34" t="n">
        <v>7</v>
      </c>
      <c r="K34" t="n">
        <v>7</v>
      </c>
      <c r="L34" t="n">
        <v>2</v>
      </c>
      <c r="M34" t="n">
        <v>7210.898416213418</v>
      </c>
      <c r="N34" t="n">
        <v>76.0099039637652</v>
      </c>
      <c r="O34">
        <f>IF(N34=0, 0, M34/N34)</f>
        <v/>
      </c>
      <c r="P34">
        <f>RANK(O34, O$2:O$518, 0)</f>
        <v/>
      </c>
      <c r="Q34">
        <f>SUM(C34,F34)</f>
        <v/>
      </c>
      <c r="R34">
        <f>SUM(Q34,G34,H34,D34,E34)</f>
        <v/>
      </c>
      <c r="S34">
        <f>SUM(R34,I34,J34,K34,L34)</f>
        <v/>
      </c>
      <c r="T34">
        <f>IF(R34=0, -1, Q34/R34)</f>
        <v/>
      </c>
      <c r="U34">
        <f>IF(S34=0, -1, Q34/S34)</f>
        <v/>
      </c>
      <c r="V34">
        <f>IF(S34=0, -1, R34/S34)</f>
        <v/>
      </c>
    </row>
    <row r="35">
      <c r="A35" t="inlineStr">
        <is>
          <t>RC00088</t>
        </is>
      </c>
      <c r="B35" t="inlineStr">
        <is>
          <t>南京师范大学</t>
        </is>
      </c>
      <c r="C35" t="n">
        <v>0</v>
      </c>
      <c r="D35" t="n">
        <v>0</v>
      </c>
      <c r="E35" t="n">
        <v>0</v>
      </c>
      <c r="F35" t="n">
        <v>1</v>
      </c>
      <c r="G35" t="n">
        <v>4</v>
      </c>
      <c r="H35" t="n">
        <v>5</v>
      </c>
      <c r="I35" t="n">
        <v>3</v>
      </c>
      <c r="J35" t="n">
        <v>4</v>
      </c>
      <c r="K35" t="n">
        <v>9</v>
      </c>
      <c r="L35" t="n">
        <v>7</v>
      </c>
      <c r="M35" t="n">
        <v>22766.26411343812</v>
      </c>
      <c r="N35" t="n">
        <v>145.3083239561022</v>
      </c>
      <c r="O35">
        <f>IF(N35=0, 0, M35/N35)</f>
        <v/>
      </c>
      <c r="P35">
        <f>RANK(O35, O$2:O$518, 0)</f>
        <v/>
      </c>
      <c r="Q35">
        <f>SUM(C35,F35)</f>
        <v/>
      </c>
      <c r="R35">
        <f>SUM(Q35,G35,H35,D35,E35)</f>
        <v/>
      </c>
      <c r="S35">
        <f>SUM(R35,I35,J35,K35,L35)</f>
        <v/>
      </c>
      <c r="T35">
        <f>IF(R35=0, -1, Q35/R35)</f>
        <v/>
      </c>
      <c r="U35">
        <f>IF(S35=0, -1, Q35/S35)</f>
        <v/>
      </c>
      <c r="V35">
        <f>IF(S35=0, -1, R35/S35)</f>
        <v/>
      </c>
    </row>
    <row r="36">
      <c r="A36" t="inlineStr">
        <is>
          <t>RC00679</t>
        </is>
      </c>
      <c r="B36" t="inlineStr">
        <is>
          <t>西南民族大学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1</v>
      </c>
      <c r="J36" t="n">
        <v>1</v>
      </c>
      <c r="K36" t="n">
        <v>3</v>
      </c>
      <c r="L36" t="n">
        <v>2</v>
      </c>
      <c r="M36" t="n">
        <v>3263.980350404541</v>
      </c>
      <c r="N36" t="n">
        <v>30.65751649389598</v>
      </c>
      <c r="O36">
        <f>IF(N36=0, 0, M36/N36)</f>
        <v/>
      </c>
      <c r="P36">
        <f>RANK(O36, O$2:O$518, 0)</f>
        <v/>
      </c>
      <c r="Q36">
        <f>SUM(C36,F36)</f>
        <v/>
      </c>
      <c r="R36">
        <f>SUM(Q36,G36,H36,D36,E36)</f>
        <v/>
      </c>
      <c r="S36">
        <f>SUM(R36,I36,J36,K36,L36)</f>
        <v/>
      </c>
      <c r="T36">
        <f>IF(R36=0, -1, Q36/R36)</f>
        <v/>
      </c>
      <c r="U36">
        <f>IF(S36=0, -1, Q36/S36)</f>
        <v/>
      </c>
      <c r="V36">
        <f>IF(S36=0, -1, R36/S36)</f>
        <v/>
      </c>
    </row>
    <row r="37">
      <c r="A37" t="inlineStr">
        <is>
          <t>RC00548</t>
        </is>
      </c>
      <c r="B37" t="inlineStr">
        <is>
          <t>中南财经政法大学</t>
        </is>
      </c>
      <c r="C37" t="n">
        <v>0</v>
      </c>
      <c r="D37" t="n">
        <v>0</v>
      </c>
      <c r="E37" t="n">
        <v>0</v>
      </c>
      <c r="F37" t="n">
        <v>0</v>
      </c>
      <c r="G37" t="n">
        <v>3</v>
      </c>
      <c r="H37" t="n">
        <v>2</v>
      </c>
      <c r="I37" t="n">
        <v>1</v>
      </c>
      <c r="J37" t="n">
        <v>1</v>
      </c>
      <c r="K37" t="n">
        <v>3</v>
      </c>
      <c r="L37" t="n">
        <v>2</v>
      </c>
      <c r="M37" t="n">
        <v>11962.95021302811</v>
      </c>
      <c r="N37" t="n">
        <v>54.61423493133339</v>
      </c>
      <c r="O37">
        <f>IF(N37=0, 0, M37/N37)</f>
        <v/>
      </c>
      <c r="P37">
        <f>RANK(O37, O$2:O$518, 0)</f>
        <v/>
      </c>
      <c r="Q37">
        <f>SUM(C37,F37)</f>
        <v/>
      </c>
      <c r="R37">
        <f>SUM(Q37,G37,H37,D37,E37)</f>
        <v/>
      </c>
      <c r="S37">
        <f>SUM(R37,I37,J37,K37,L37)</f>
        <v/>
      </c>
      <c r="T37">
        <f>IF(R37=0, -1, Q37/R37)</f>
        <v/>
      </c>
      <c r="U37">
        <f>IF(S37=0, -1, Q37/S37)</f>
        <v/>
      </c>
      <c r="V37">
        <f>IF(S37=0, -1, R37/S37)</f>
        <v/>
      </c>
    </row>
    <row r="38">
      <c r="A38" t="inlineStr">
        <is>
          <t>RC00035</t>
        </is>
      </c>
      <c r="B38" t="inlineStr">
        <is>
          <t>兰州大学</t>
        </is>
      </c>
      <c r="C38" t="n">
        <v>1</v>
      </c>
      <c r="D38" t="n">
        <v>0</v>
      </c>
      <c r="E38" t="n">
        <v>0</v>
      </c>
      <c r="F38" t="n">
        <v>1</v>
      </c>
      <c r="G38" t="n">
        <v>0</v>
      </c>
      <c r="H38" t="n">
        <v>4</v>
      </c>
      <c r="I38" t="n">
        <v>7</v>
      </c>
      <c r="J38" t="n">
        <v>9</v>
      </c>
      <c r="K38" t="n">
        <v>9</v>
      </c>
      <c r="L38" t="n">
        <v>3</v>
      </c>
      <c r="M38" t="n">
        <v>28072.25597759967</v>
      </c>
      <c r="N38" t="n">
        <v>138.4941541996465</v>
      </c>
      <c r="O38">
        <f>IF(N38=0, 0, M38/N38)</f>
        <v/>
      </c>
      <c r="P38">
        <f>RANK(O38, O$2:O$518, 0)</f>
        <v/>
      </c>
      <c r="Q38">
        <f>SUM(C38,F38)</f>
        <v/>
      </c>
      <c r="R38">
        <f>SUM(Q38,G38,H38,D38,E38)</f>
        <v/>
      </c>
      <c r="S38">
        <f>SUM(R38,I38,J38,K38,L38)</f>
        <v/>
      </c>
      <c r="T38">
        <f>IF(R38=0, -1, Q38/R38)</f>
        <v/>
      </c>
      <c r="U38">
        <f>IF(S38=0, -1, Q38/S38)</f>
        <v/>
      </c>
      <c r="V38">
        <f>IF(S38=0, -1, R38/S38)</f>
        <v/>
      </c>
    </row>
    <row r="39">
      <c r="A39" t="inlineStr">
        <is>
          <t>RC00081</t>
        </is>
      </c>
      <c r="B39" t="inlineStr">
        <is>
          <t>西北大学</t>
        </is>
      </c>
      <c r="C39" t="n">
        <v>1</v>
      </c>
      <c r="D39" t="n">
        <v>0</v>
      </c>
      <c r="E39" t="n">
        <v>0</v>
      </c>
      <c r="F39" t="n">
        <v>0</v>
      </c>
      <c r="G39" t="n">
        <v>0</v>
      </c>
      <c r="H39" t="n">
        <v>2</v>
      </c>
      <c r="I39" t="n">
        <v>8</v>
      </c>
      <c r="J39" t="n">
        <v>11</v>
      </c>
      <c r="K39" t="n">
        <v>6</v>
      </c>
      <c r="L39" t="n">
        <v>2</v>
      </c>
      <c r="M39" t="n">
        <v>20892.13402085836</v>
      </c>
      <c r="N39" t="n">
        <v>126.3047414593575</v>
      </c>
      <c r="O39">
        <f>IF(N39=0, 0, M39/N39)</f>
        <v/>
      </c>
      <c r="P39">
        <f>RANK(O39, O$2:O$518, 0)</f>
        <v/>
      </c>
      <c r="Q39">
        <f>SUM(C39,F39)</f>
        <v/>
      </c>
      <c r="R39">
        <f>SUM(Q39,G39,H39,D39,E39)</f>
        <v/>
      </c>
      <c r="S39">
        <f>SUM(R39,I39,J39,K39,L39)</f>
        <v/>
      </c>
      <c r="T39">
        <f>IF(R39=0, -1, Q39/R39)</f>
        <v/>
      </c>
      <c r="U39">
        <f>IF(S39=0, -1, Q39/S39)</f>
        <v/>
      </c>
      <c r="V39">
        <f>IF(S39=0, -1, R39/S39)</f>
        <v/>
      </c>
    </row>
    <row r="40">
      <c r="A40" t="inlineStr">
        <is>
          <t>RC00333</t>
        </is>
      </c>
      <c r="B40" t="inlineStr">
        <is>
          <t>上海师范大学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3</v>
      </c>
      <c r="I40" t="n">
        <v>3</v>
      </c>
      <c r="J40" t="n">
        <v>7</v>
      </c>
      <c r="K40" t="n">
        <v>2</v>
      </c>
      <c r="L40" t="n">
        <v>6</v>
      </c>
      <c r="M40" t="n">
        <v>12466.28988402539</v>
      </c>
      <c r="N40" t="n">
        <v>95.10274014428481</v>
      </c>
      <c r="O40">
        <f>IF(N40=0, 0, M40/N40)</f>
        <v/>
      </c>
      <c r="P40">
        <f>RANK(O40, O$2:O$518, 0)</f>
        <v/>
      </c>
      <c r="Q40">
        <f>SUM(C40,F40)</f>
        <v/>
      </c>
      <c r="R40">
        <f>SUM(Q40,G40,H40,D40,E40)</f>
        <v/>
      </c>
      <c r="S40">
        <f>SUM(R40,I40,J40,K40,L40)</f>
        <v/>
      </c>
      <c r="T40">
        <f>IF(R40=0, -1, Q40/R40)</f>
        <v/>
      </c>
      <c r="U40">
        <f>IF(S40=0, -1, Q40/S40)</f>
        <v/>
      </c>
      <c r="V40">
        <f>IF(S40=0, -1, R40/S40)</f>
        <v/>
      </c>
    </row>
    <row r="41">
      <c r="A41" t="inlineStr">
        <is>
          <t>RC00005</t>
        </is>
      </c>
      <c r="B41" t="inlineStr">
        <is>
          <t>上海交通大学</t>
        </is>
      </c>
      <c r="C41" t="n">
        <v>2</v>
      </c>
      <c r="D41" t="n">
        <v>0</v>
      </c>
      <c r="E41" t="n">
        <v>3</v>
      </c>
      <c r="F41" t="n">
        <v>13</v>
      </c>
      <c r="G41" t="n">
        <v>10</v>
      </c>
      <c r="H41" t="n">
        <v>7</v>
      </c>
      <c r="I41" t="n">
        <v>10</v>
      </c>
      <c r="J41" t="n">
        <v>7</v>
      </c>
      <c r="K41" t="n">
        <v>3</v>
      </c>
      <c r="L41" t="n">
        <v>0</v>
      </c>
      <c r="M41" t="n">
        <v>97219.90162274052</v>
      </c>
      <c r="N41" t="n">
        <v>225.5507955437554</v>
      </c>
      <c r="O41">
        <f>IF(N41=0, 0, M41/N41)</f>
        <v/>
      </c>
      <c r="P41">
        <f>RANK(O41, O$2:O$518, 0)</f>
        <v/>
      </c>
      <c r="Q41">
        <f>SUM(C41,F41)</f>
        <v/>
      </c>
      <c r="R41">
        <f>SUM(Q41,G41,H41,D41,E41)</f>
        <v/>
      </c>
      <c r="S41">
        <f>SUM(R41,I41,J41,K41,L41)</f>
        <v/>
      </c>
      <c r="T41">
        <f>IF(R41=0, -1, Q41/R41)</f>
        <v/>
      </c>
      <c r="U41">
        <f>IF(S41=0, -1, Q41/S41)</f>
        <v/>
      </c>
      <c r="V41">
        <f>IF(S41=0, -1, R41/S41)</f>
        <v/>
      </c>
    </row>
    <row r="42">
      <c r="A42" t="inlineStr">
        <is>
          <t>RC00107</t>
        </is>
      </c>
      <c r="B42" t="inlineStr">
        <is>
          <t>华侨大学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</v>
      </c>
      <c r="I42" t="n">
        <v>1</v>
      </c>
      <c r="J42" t="n">
        <v>3</v>
      </c>
      <c r="K42" t="n">
        <v>3</v>
      </c>
      <c r="L42" t="n">
        <v>8</v>
      </c>
      <c r="M42" t="n">
        <v>6288.779253834474</v>
      </c>
      <c r="N42" t="n">
        <v>73.86065491977467</v>
      </c>
      <c r="O42">
        <f>IF(N42=0, 0, M42/N42)</f>
        <v/>
      </c>
      <c r="P42">
        <f>RANK(O42, O$2:O$518, 0)</f>
        <v/>
      </c>
      <c r="Q42">
        <f>SUM(C42,F42)</f>
        <v/>
      </c>
      <c r="R42">
        <f>SUM(Q42,G42,H42,D42,E42)</f>
        <v/>
      </c>
      <c r="S42">
        <f>SUM(R42,I42,J42,K42,L42)</f>
        <v/>
      </c>
      <c r="T42">
        <f>IF(R42=0, -1, Q42/R42)</f>
        <v/>
      </c>
      <c r="U42">
        <f>IF(S42=0, -1, Q42/S42)</f>
        <v/>
      </c>
      <c r="V42">
        <f>IF(S42=0, -1, R42/S42)</f>
        <v/>
      </c>
    </row>
    <row r="43">
      <c r="A43" t="inlineStr">
        <is>
          <t>RC00119</t>
        </is>
      </c>
      <c r="B43" t="inlineStr">
        <is>
          <t>安徽大学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3</v>
      </c>
      <c r="J43" t="n">
        <v>15</v>
      </c>
      <c r="K43" t="n">
        <v>3</v>
      </c>
      <c r="L43" t="n">
        <v>4</v>
      </c>
      <c r="M43" t="n">
        <v>12538.75303743837</v>
      </c>
      <c r="N43" t="n">
        <v>111.0494838841349</v>
      </c>
      <c r="O43">
        <f>IF(N43=0, 0, M43/N43)</f>
        <v/>
      </c>
      <c r="P43">
        <f>RANK(O43, O$2:O$518, 0)</f>
        <v/>
      </c>
      <c r="Q43">
        <f>SUM(C43,F43)</f>
        <v/>
      </c>
      <c r="R43">
        <f>SUM(Q43,G43,H43,D43,E43)</f>
        <v/>
      </c>
      <c r="S43">
        <f>SUM(R43,I43,J43,K43,L43)</f>
        <v/>
      </c>
      <c r="T43">
        <f>IF(R43=0, -1, Q43/R43)</f>
        <v/>
      </c>
      <c r="U43">
        <f>IF(S43=0, -1, Q43/S43)</f>
        <v/>
      </c>
      <c r="V43">
        <f>IF(S43=0, -1, R43/S43)</f>
        <v/>
      </c>
    </row>
    <row r="44">
      <c r="A44" t="inlineStr">
        <is>
          <t>RC00353</t>
        </is>
      </c>
      <c r="B44" t="inlineStr">
        <is>
          <t>江苏师范大学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1</v>
      </c>
      <c r="I44" t="n">
        <v>0</v>
      </c>
      <c r="J44" t="n">
        <v>3</v>
      </c>
      <c r="K44" t="n">
        <v>3</v>
      </c>
      <c r="L44" t="n">
        <v>3</v>
      </c>
      <c r="M44" t="n">
        <v>4622.172468862415</v>
      </c>
      <c r="N44" t="n">
        <v>45.81389192810134</v>
      </c>
      <c r="O44">
        <f>IF(N44=0, 0, M44/N44)</f>
        <v/>
      </c>
      <c r="P44">
        <f>RANK(O44, O$2:O$518, 0)</f>
        <v/>
      </c>
      <c r="Q44">
        <f>SUM(C44,F44)</f>
        <v/>
      </c>
      <c r="R44">
        <f>SUM(Q44,G44,H44,D44,E44)</f>
        <v/>
      </c>
      <c r="S44">
        <f>SUM(R44,I44,J44,K44,L44)</f>
        <v/>
      </c>
      <c r="T44">
        <f>IF(R44=0, -1, Q44/R44)</f>
        <v/>
      </c>
      <c r="U44">
        <f>IF(S44=0, -1, Q44/S44)</f>
        <v/>
      </c>
      <c r="V44">
        <f>IF(S44=0, -1, R44/S44)</f>
        <v/>
      </c>
    </row>
    <row r="45">
      <c r="A45" t="inlineStr">
        <is>
          <t>RC00179</t>
        </is>
      </c>
      <c r="B45" t="inlineStr">
        <is>
          <t>河北大学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3</v>
      </c>
      <c r="J45" t="n">
        <v>4</v>
      </c>
      <c r="K45" t="n">
        <v>9</v>
      </c>
      <c r="L45" t="n">
        <v>1</v>
      </c>
      <c r="M45" t="n">
        <v>8293.030922851611</v>
      </c>
      <c r="N45" t="n">
        <v>74.95242121216894</v>
      </c>
      <c r="O45">
        <f>IF(N45=0, 0, M45/N45)</f>
        <v/>
      </c>
      <c r="P45">
        <f>RANK(O45, O$2:O$518, 0)</f>
        <v/>
      </c>
      <c r="Q45">
        <f>SUM(C45,F45)</f>
        <v/>
      </c>
      <c r="R45">
        <f>SUM(Q45,G45,H45,D45,E45)</f>
        <v/>
      </c>
      <c r="S45">
        <f>SUM(R45,I45,J45,K45,L45)</f>
        <v/>
      </c>
      <c r="T45">
        <f>IF(R45=0, -1, Q45/R45)</f>
        <v/>
      </c>
      <c r="U45">
        <f>IF(S45=0, -1, Q45/S45)</f>
        <v/>
      </c>
      <c r="V45">
        <f>IF(S45=0, -1, R45/S45)</f>
        <v/>
      </c>
    </row>
    <row r="46">
      <c r="A46" t="inlineStr">
        <is>
          <t>RC00120</t>
        </is>
      </c>
      <c r="B46" t="inlineStr">
        <is>
          <t>河南大学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3</v>
      </c>
      <c r="I46" t="n">
        <v>4</v>
      </c>
      <c r="J46" t="n">
        <v>9</v>
      </c>
      <c r="K46" t="n">
        <v>10</v>
      </c>
      <c r="L46" t="n">
        <v>5</v>
      </c>
      <c r="M46" t="n">
        <v>16484.17855355472</v>
      </c>
      <c r="N46" t="n">
        <v>136.8104039834915</v>
      </c>
      <c r="O46">
        <f>IF(N46=0, 0, M46/N46)</f>
        <v/>
      </c>
      <c r="P46">
        <f>RANK(O46, O$2:O$518, 0)</f>
        <v/>
      </c>
      <c r="Q46">
        <f>SUM(C46,F46)</f>
        <v/>
      </c>
      <c r="R46">
        <f>SUM(Q46,G46,H46,D46,E46)</f>
        <v/>
      </c>
      <c r="S46">
        <f>SUM(R46,I46,J46,K46,L46)</f>
        <v/>
      </c>
      <c r="T46">
        <f>IF(R46=0, -1, Q46/R46)</f>
        <v/>
      </c>
      <c r="U46">
        <f>IF(S46=0, -1, Q46/S46)</f>
        <v/>
      </c>
      <c r="V46">
        <f>IF(S46=0, -1, R46/S46)</f>
        <v/>
      </c>
    </row>
    <row r="47">
      <c r="A47" t="inlineStr">
        <is>
          <t>RC00109</t>
        </is>
      </c>
      <c r="B47" t="inlineStr">
        <is>
          <t>华中师范大学</t>
        </is>
      </c>
      <c r="C47" t="n">
        <v>0</v>
      </c>
      <c r="D47" t="n">
        <v>0</v>
      </c>
      <c r="E47" t="n">
        <v>0</v>
      </c>
      <c r="F47" t="n">
        <v>1</v>
      </c>
      <c r="G47" t="n">
        <v>4</v>
      </c>
      <c r="H47" t="n">
        <v>5</v>
      </c>
      <c r="I47" t="n">
        <v>7</v>
      </c>
      <c r="J47" t="n">
        <v>4</v>
      </c>
      <c r="K47" t="n">
        <v>5</v>
      </c>
      <c r="L47" t="n">
        <v>5</v>
      </c>
      <c r="M47" t="n">
        <v>25262.97724065867</v>
      </c>
      <c r="N47" t="n">
        <v>134.136572622108</v>
      </c>
      <c r="O47">
        <f>IF(N47=0, 0, M47/N47)</f>
        <v/>
      </c>
      <c r="P47">
        <f>RANK(O47, O$2:O$518, 0)</f>
        <v/>
      </c>
      <c r="Q47">
        <f>SUM(C47,F47)</f>
        <v/>
      </c>
      <c r="R47">
        <f>SUM(Q47,G47,H47,D47,E47)</f>
        <v/>
      </c>
      <c r="S47">
        <f>SUM(R47,I47,J47,K47,L47)</f>
        <v/>
      </c>
      <c r="T47">
        <f>IF(R47=0, -1, Q47/R47)</f>
        <v/>
      </c>
      <c r="U47">
        <f>IF(S47=0, -1, Q47/S47)</f>
        <v/>
      </c>
      <c r="V47">
        <f>IF(S47=0, -1, R47/S47)</f>
        <v/>
      </c>
    </row>
    <row r="48">
      <c r="A48" t="inlineStr">
        <is>
          <t>RC00670</t>
        </is>
      </c>
      <c r="B48" t="inlineStr">
        <is>
          <t>四川师范大学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3</v>
      </c>
      <c r="J48" t="n">
        <v>4</v>
      </c>
      <c r="K48" t="n">
        <v>5</v>
      </c>
      <c r="L48" t="n">
        <v>1</v>
      </c>
      <c r="M48" t="n">
        <v>5640.578907892859</v>
      </c>
      <c r="N48" t="n">
        <v>57.18620346555258</v>
      </c>
      <c r="O48">
        <f>IF(N48=0, 0, M48/N48)</f>
        <v/>
      </c>
      <c r="P48">
        <f>RANK(O48, O$2:O$518, 0)</f>
        <v/>
      </c>
      <c r="Q48">
        <f>SUM(C48,F48)</f>
        <v/>
      </c>
      <c r="R48">
        <f>SUM(Q48,G48,H48,D48,E48)</f>
        <v/>
      </c>
      <c r="S48">
        <f>SUM(R48,I48,J48,K48,L48)</f>
        <v/>
      </c>
      <c r="T48">
        <f>IF(R48=0, -1, Q48/R48)</f>
        <v/>
      </c>
      <c r="U48">
        <f>IF(S48=0, -1, Q48/S48)</f>
        <v/>
      </c>
      <c r="V48">
        <f>IF(S48=0, -1, R48/S48)</f>
        <v/>
      </c>
    </row>
    <row r="49">
      <c r="A49" t="inlineStr">
        <is>
          <t>RC00053</t>
        </is>
      </c>
      <c r="B49" t="inlineStr">
        <is>
          <t>东北大学</t>
        </is>
      </c>
      <c r="C49" t="n">
        <v>0</v>
      </c>
      <c r="D49" t="n">
        <v>1</v>
      </c>
      <c r="E49" t="n">
        <v>1</v>
      </c>
      <c r="F49" t="n">
        <v>1</v>
      </c>
      <c r="G49" t="n">
        <v>0</v>
      </c>
      <c r="H49" t="n">
        <v>5</v>
      </c>
      <c r="I49" t="n">
        <v>4</v>
      </c>
      <c r="J49" t="n">
        <v>8</v>
      </c>
      <c r="K49" t="n">
        <v>5</v>
      </c>
      <c r="L49" t="n">
        <v>3</v>
      </c>
      <c r="M49" t="n">
        <v>24318.74080735719</v>
      </c>
      <c r="N49" t="n">
        <v>122.860251466285</v>
      </c>
      <c r="O49">
        <f>IF(N49=0, 0, M49/N49)</f>
        <v/>
      </c>
      <c r="P49">
        <f>RANK(O49, O$2:O$518, 0)</f>
        <v/>
      </c>
      <c r="Q49">
        <f>SUM(C49,F49)</f>
        <v/>
      </c>
      <c r="R49">
        <f>SUM(Q49,G49,H49,D49,E49)</f>
        <v/>
      </c>
      <c r="S49">
        <f>SUM(R49,I49,J49,K49,L49)</f>
        <v/>
      </c>
      <c r="T49">
        <f>IF(R49=0, -1, Q49/R49)</f>
        <v/>
      </c>
      <c r="U49">
        <f>IF(S49=0, -1, Q49/S49)</f>
        <v/>
      </c>
      <c r="V49">
        <f>IF(S49=0, -1, R49/S49)</f>
        <v/>
      </c>
    </row>
    <row r="50">
      <c r="A50" t="inlineStr">
        <is>
          <t>RC00568</t>
        </is>
      </c>
      <c r="B50" t="inlineStr">
        <is>
          <t>长沙理工大学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1</v>
      </c>
      <c r="I50" t="n">
        <v>1</v>
      </c>
      <c r="J50" t="n">
        <v>4</v>
      </c>
      <c r="K50" t="n">
        <v>4</v>
      </c>
      <c r="L50" t="n">
        <v>3</v>
      </c>
      <c r="M50" t="n">
        <v>5780.008816456375</v>
      </c>
      <c r="N50" t="n">
        <v>58.95367356546201</v>
      </c>
      <c r="O50">
        <f>IF(N50=0, 0, M50/N50)</f>
        <v/>
      </c>
      <c r="P50">
        <f>RANK(O50, O$2:O$518, 0)</f>
        <v/>
      </c>
      <c r="Q50">
        <f>SUM(C50,F50)</f>
        <v/>
      </c>
      <c r="R50">
        <f>SUM(Q50,G50,H50,D50,E50)</f>
        <v/>
      </c>
      <c r="S50">
        <f>SUM(R50,I50,J50,K50,L50)</f>
        <v/>
      </c>
      <c r="T50">
        <f>IF(R50=0, -1, Q50/R50)</f>
        <v/>
      </c>
      <c r="U50">
        <f>IF(S50=0, -1, Q50/S50)</f>
        <v/>
      </c>
      <c r="V50">
        <f>IF(S50=0, -1, R50/S50)</f>
        <v/>
      </c>
    </row>
    <row r="51">
      <c r="A51" t="inlineStr">
        <is>
          <t>RC00079</t>
        </is>
      </c>
      <c r="B51" t="inlineStr">
        <is>
          <t>西南大学</t>
        </is>
      </c>
      <c r="C51" t="n">
        <v>0</v>
      </c>
      <c r="D51" t="n">
        <v>0</v>
      </c>
      <c r="E51" t="n">
        <v>0</v>
      </c>
      <c r="F51" t="n">
        <v>0</v>
      </c>
      <c r="G51" t="n">
        <v>3</v>
      </c>
      <c r="H51" t="n">
        <v>0</v>
      </c>
      <c r="I51" t="n">
        <v>11</v>
      </c>
      <c r="J51" t="n">
        <v>12</v>
      </c>
      <c r="K51" t="n">
        <v>9</v>
      </c>
      <c r="L51" t="n">
        <v>5</v>
      </c>
      <c r="M51" t="n">
        <v>26104.04115346442</v>
      </c>
      <c r="N51" t="n">
        <v>167.7672961332378</v>
      </c>
      <c r="O51">
        <f>IF(N51=0, 0, M51/N51)</f>
        <v/>
      </c>
      <c r="P51">
        <f>RANK(O51, O$2:O$518, 0)</f>
        <v/>
      </c>
      <c r="Q51">
        <f>SUM(C51,F51)</f>
        <v/>
      </c>
      <c r="R51">
        <f>SUM(Q51,G51,H51,D51,E51)</f>
        <v/>
      </c>
      <c r="S51">
        <f>SUM(R51,I51,J51,K51,L51)</f>
        <v/>
      </c>
      <c r="T51">
        <f>IF(R51=0, -1, Q51/R51)</f>
        <v/>
      </c>
      <c r="U51">
        <f>IF(S51=0, -1, Q51/S51)</f>
        <v/>
      </c>
      <c r="V51">
        <f>IF(S51=0, -1, R51/S51)</f>
        <v/>
      </c>
    </row>
    <row r="52">
      <c r="A52" t="inlineStr">
        <is>
          <t>RC00208</t>
        </is>
      </c>
      <c r="B52" t="inlineStr">
        <is>
          <t>河北经贸大学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</v>
      </c>
      <c r="K52" t="n">
        <v>2</v>
      </c>
      <c r="L52" t="n">
        <v>1</v>
      </c>
      <c r="M52" t="n">
        <v>1471.955138036118</v>
      </c>
      <c r="N52" t="n">
        <v>19.50103374176769</v>
      </c>
      <c r="O52">
        <f>IF(N52=0, 0, M52/N52)</f>
        <v/>
      </c>
      <c r="P52">
        <f>RANK(O52, O$2:O$518, 0)</f>
        <v/>
      </c>
      <c r="Q52">
        <f>SUM(C52,F52)</f>
        <v/>
      </c>
      <c r="R52">
        <f>SUM(Q52,G52,H52,D52,E52)</f>
        <v/>
      </c>
      <c r="S52">
        <f>SUM(R52,I52,J52,K52,L52)</f>
        <v/>
      </c>
      <c r="T52">
        <f>IF(R52=0, -1, Q52/R52)</f>
        <v/>
      </c>
      <c r="U52">
        <f>IF(S52=0, -1, Q52/S52)</f>
        <v/>
      </c>
      <c r="V52">
        <f>IF(S52=0, -1, R52/S52)</f>
        <v/>
      </c>
    </row>
    <row r="53">
      <c r="A53" t="inlineStr">
        <is>
          <t>RC00335</t>
        </is>
      </c>
      <c r="B53" t="inlineStr">
        <is>
          <t>上海财经大学</t>
        </is>
      </c>
      <c r="C53" t="n">
        <v>0</v>
      </c>
      <c r="D53" t="n">
        <v>0</v>
      </c>
      <c r="E53" t="n">
        <v>0</v>
      </c>
      <c r="F53" t="n">
        <v>1</v>
      </c>
      <c r="G53" t="n">
        <v>2</v>
      </c>
      <c r="H53" t="n">
        <v>1</v>
      </c>
      <c r="I53" t="n">
        <v>3</v>
      </c>
      <c r="J53" t="n">
        <v>1</v>
      </c>
      <c r="K53" t="n">
        <v>2</v>
      </c>
      <c r="L53" t="n">
        <v>1</v>
      </c>
      <c r="M53" t="n">
        <v>12137.04817458268</v>
      </c>
      <c r="N53" t="n">
        <v>51.73261596454681</v>
      </c>
      <c r="O53">
        <f>IF(N53=0, 0, M53/N53)</f>
        <v/>
      </c>
      <c r="P53">
        <f>RANK(O53, O$2:O$518, 0)</f>
        <v/>
      </c>
      <c r="Q53">
        <f>SUM(C53,F53)</f>
        <v/>
      </c>
      <c r="R53">
        <f>SUM(Q53,G53,H53,D53,E53)</f>
        <v/>
      </c>
      <c r="S53">
        <f>SUM(R53,I53,J53,K53,L53)</f>
        <v/>
      </c>
      <c r="T53">
        <f>IF(R53=0, -1, Q53/R53)</f>
        <v/>
      </c>
      <c r="U53">
        <f>IF(S53=0, -1, Q53/S53)</f>
        <v/>
      </c>
      <c r="V53">
        <f>IF(S53=0, -1, R53/S53)</f>
        <v/>
      </c>
    </row>
    <row r="54">
      <c r="A54" t="inlineStr">
        <is>
          <t>RC00043</t>
        </is>
      </c>
      <c r="B54" t="inlineStr">
        <is>
          <t>上海大学</t>
        </is>
      </c>
      <c r="C54" t="n">
        <v>0</v>
      </c>
      <c r="D54" t="n">
        <v>0</v>
      </c>
      <c r="E54" t="n">
        <v>0</v>
      </c>
      <c r="F54" t="n">
        <v>0</v>
      </c>
      <c r="G54" t="n">
        <v>3</v>
      </c>
      <c r="H54" t="n">
        <v>4</v>
      </c>
      <c r="I54" t="n">
        <v>14</v>
      </c>
      <c r="J54" t="n">
        <v>6</v>
      </c>
      <c r="K54" t="n">
        <v>8</v>
      </c>
      <c r="L54" t="n">
        <v>3</v>
      </c>
      <c r="M54" t="n">
        <v>27786.69551642955</v>
      </c>
      <c r="N54" t="n">
        <v>166.5654535475267</v>
      </c>
      <c r="O54">
        <f>IF(N54=0, 0, M54/N54)</f>
        <v/>
      </c>
      <c r="P54">
        <f>RANK(O54, O$2:O$518, 0)</f>
        <v/>
      </c>
      <c r="Q54">
        <f>SUM(C54,F54)</f>
        <v/>
      </c>
      <c r="R54">
        <f>SUM(Q54,G54,H54,D54,E54)</f>
        <v/>
      </c>
      <c r="S54">
        <f>SUM(R54,I54,J54,K54,L54)</f>
        <v/>
      </c>
      <c r="T54">
        <f>IF(R54=0, -1, Q54/R54)</f>
        <v/>
      </c>
      <c r="U54">
        <f>IF(S54=0, -1, Q54/S54)</f>
        <v/>
      </c>
      <c r="V54">
        <f>IF(S54=0, -1, R54/S54)</f>
        <v/>
      </c>
    </row>
    <row r="55">
      <c r="A55" t="inlineStr">
        <is>
          <t>RC00070</t>
        </is>
      </c>
      <c r="B55" t="inlineStr">
        <is>
          <t>东北师范大学</t>
        </is>
      </c>
      <c r="C55" t="n">
        <v>0</v>
      </c>
      <c r="D55" t="n">
        <v>0</v>
      </c>
      <c r="E55" t="n">
        <v>0</v>
      </c>
      <c r="F55" t="n">
        <v>3</v>
      </c>
      <c r="G55" t="n">
        <v>1</v>
      </c>
      <c r="H55" t="n">
        <v>4</v>
      </c>
      <c r="I55" t="n">
        <v>4</v>
      </c>
      <c r="J55" t="n">
        <v>8</v>
      </c>
      <c r="K55" t="n">
        <v>4</v>
      </c>
      <c r="L55" t="n">
        <v>6</v>
      </c>
      <c r="M55" t="n">
        <v>26216.15384206877</v>
      </c>
      <c r="N55" t="n">
        <v>129.898632958733</v>
      </c>
      <c r="O55">
        <f>IF(N55=0, 0, M55/N55)</f>
        <v/>
      </c>
      <c r="P55">
        <f>RANK(O55, O$2:O$518, 0)</f>
        <v/>
      </c>
      <c r="Q55">
        <f>SUM(C55,F55)</f>
        <v/>
      </c>
      <c r="R55">
        <f>SUM(Q55,G55,H55,D55,E55)</f>
        <v/>
      </c>
      <c r="S55">
        <f>SUM(R55,I55,J55,K55,L55)</f>
        <v/>
      </c>
      <c r="T55">
        <f>IF(R55=0, -1, Q55/R55)</f>
        <v/>
      </c>
      <c r="U55">
        <f>IF(S55=0, -1, Q55/S55)</f>
        <v/>
      </c>
      <c r="V55">
        <f>IF(S55=0, -1, R55/S55)</f>
        <v/>
      </c>
    </row>
    <row r="56">
      <c r="A56" t="inlineStr">
        <is>
          <t>RC00565</t>
        </is>
      </c>
      <c r="B56" t="inlineStr">
        <is>
          <t>湘潭大学</t>
        </is>
      </c>
      <c r="C56" t="n">
        <v>0</v>
      </c>
      <c r="D56" t="n">
        <v>0</v>
      </c>
      <c r="E56" t="n">
        <v>0</v>
      </c>
      <c r="F56" t="n">
        <v>1</v>
      </c>
      <c r="G56" t="n">
        <v>1</v>
      </c>
      <c r="H56" t="n">
        <v>1</v>
      </c>
      <c r="I56" t="n">
        <v>0</v>
      </c>
      <c r="J56" t="n">
        <v>3</v>
      </c>
      <c r="K56" t="n">
        <v>8</v>
      </c>
      <c r="L56" t="n">
        <v>4</v>
      </c>
      <c r="M56" t="n">
        <v>9979.733085868322</v>
      </c>
      <c r="N56" t="n">
        <v>83.86516884862483</v>
      </c>
      <c r="O56">
        <f>IF(N56=0, 0, M56/N56)</f>
        <v/>
      </c>
      <c r="P56">
        <f>RANK(O56, O$2:O$518, 0)</f>
        <v/>
      </c>
      <c r="Q56">
        <f>SUM(C56,F56)</f>
        <v/>
      </c>
      <c r="R56">
        <f>SUM(Q56,G56,H56,D56,E56)</f>
        <v/>
      </c>
      <c r="S56">
        <f>SUM(R56,I56,J56,K56,L56)</f>
        <v/>
      </c>
      <c r="T56">
        <f>IF(R56=0, -1, Q56/R56)</f>
        <v/>
      </c>
      <c r="U56">
        <f>IF(S56=0, -1, Q56/S56)</f>
        <v/>
      </c>
      <c r="V56">
        <f>IF(S56=0, -1, R56/S56)</f>
        <v/>
      </c>
    </row>
    <row r="57">
      <c r="A57" t="inlineStr">
        <is>
          <t>RC00760</t>
        </is>
      </c>
      <c r="B57" t="inlineStr">
        <is>
          <t>西北师范大学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8</v>
      </c>
      <c r="K57" t="n">
        <v>6</v>
      </c>
      <c r="L57" t="n">
        <v>2</v>
      </c>
      <c r="M57" t="n">
        <v>6855.893853092071</v>
      </c>
      <c r="N57" t="n">
        <v>71.42528870535675</v>
      </c>
      <c r="O57">
        <f>IF(N57=0, 0, M57/N57)</f>
        <v/>
      </c>
      <c r="P57">
        <f>RANK(O57, O$2:O$518, 0)</f>
        <v/>
      </c>
      <c r="Q57">
        <f>SUM(C57,F57)</f>
        <v/>
      </c>
      <c r="R57">
        <f>SUM(Q57,G57,H57,D57,E57)</f>
        <v/>
      </c>
      <c r="S57">
        <f>SUM(R57,I57,J57,K57,L57)</f>
        <v/>
      </c>
      <c r="T57">
        <f>IF(R57=0, -1, Q57/R57)</f>
        <v/>
      </c>
      <c r="U57">
        <f>IF(S57=0, -1, Q57/S57)</f>
        <v/>
      </c>
      <c r="V57">
        <f>IF(S57=0, -1, R57/S57)</f>
        <v/>
      </c>
    </row>
    <row r="58">
      <c r="A58" t="inlineStr">
        <is>
          <t>RC00052</t>
        </is>
      </c>
      <c r="B58" t="inlineStr">
        <is>
          <t>重庆大学</t>
        </is>
      </c>
      <c r="C58" t="n">
        <v>0</v>
      </c>
      <c r="D58" t="n">
        <v>0</v>
      </c>
      <c r="E58" t="n">
        <v>0</v>
      </c>
      <c r="F58" t="n">
        <v>1</v>
      </c>
      <c r="G58" t="n">
        <v>4</v>
      </c>
      <c r="H58" t="n">
        <v>8</v>
      </c>
      <c r="I58" t="n">
        <v>11</v>
      </c>
      <c r="J58" t="n">
        <v>6</v>
      </c>
      <c r="K58" t="n">
        <v>3</v>
      </c>
      <c r="L58" t="n">
        <v>4</v>
      </c>
      <c r="M58" t="n">
        <v>34462.04179249504</v>
      </c>
      <c r="N58" t="n">
        <v>161.1247819385449</v>
      </c>
      <c r="O58">
        <f>IF(N58=0, 0, M58/N58)</f>
        <v/>
      </c>
      <c r="P58">
        <f>RANK(O58, O$2:O$518, 0)</f>
        <v/>
      </c>
      <c r="Q58">
        <f>SUM(C58,F58)</f>
        <v/>
      </c>
      <c r="R58">
        <f>SUM(Q58,G58,H58,D58,E58)</f>
        <v/>
      </c>
      <c r="S58">
        <f>SUM(R58,I58,J58,K58,L58)</f>
        <v/>
      </c>
      <c r="T58">
        <f>IF(R58=0, -1, Q58/R58)</f>
        <v/>
      </c>
      <c r="U58">
        <f>IF(S58=0, -1, Q58/S58)</f>
        <v/>
      </c>
      <c r="V58">
        <f>IF(S58=0, -1, R58/S58)</f>
        <v/>
      </c>
    </row>
    <row r="59">
      <c r="A59" t="inlineStr">
        <is>
          <t>RC00478</t>
        </is>
      </c>
      <c r="B59" t="inlineStr">
        <is>
          <t>曲阜师范大学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2</v>
      </c>
      <c r="J59" t="n">
        <v>2</v>
      </c>
      <c r="K59" t="n">
        <v>7</v>
      </c>
      <c r="L59" t="n">
        <v>7</v>
      </c>
      <c r="M59" t="n">
        <v>6888.507340596483</v>
      </c>
      <c r="N59" t="n">
        <v>80.06195444985148</v>
      </c>
      <c r="O59">
        <f>IF(N59=0, 0, M59/N59)</f>
        <v/>
      </c>
      <c r="P59">
        <f>RANK(O59, O$2:O$518, 0)</f>
        <v/>
      </c>
      <c r="Q59">
        <f>SUM(C59,F59)</f>
        <v/>
      </c>
      <c r="R59">
        <f>SUM(Q59,G59,H59,D59,E59)</f>
        <v/>
      </c>
      <c r="S59">
        <f>SUM(R59,I59,J59,K59,L59)</f>
        <v/>
      </c>
      <c r="T59">
        <f>IF(R59=0, -1, Q59/R59)</f>
        <v/>
      </c>
      <c r="U59">
        <f>IF(S59=0, -1, Q59/S59)</f>
        <v/>
      </c>
      <c r="V59">
        <f>IF(S59=0, -1, R59/S59)</f>
        <v/>
      </c>
    </row>
    <row r="60">
      <c r="A60" t="inlineStr">
        <is>
          <t>RC00092</t>
        </is>
      </c>
      <c r="B60" t="inlineStr">
        <is>
          <t>南昌大学</t>
        </is>
      </c>
      <c r="C60" t="n">
        <v>0</v>
      </c>
      <c r="D60" t="n">
        <v>0</v>
      </c>
      <c r="E60" t="n">
        <v>0</v>
      </c>
      <c r="F60" t="n">
        <v>1</v>
      </c>
      <c r="G60" t="n">
        <v>0</v>
      </c>
      <c r="H60" t="n">
        <v>1</v>
      </c>
      <c r="I60" t="n">
        <v>4</v>
      </c>
      <c r="J60" t="n">
        <v>7</v>
      </c>
      <c r="K60" t="n">
        <v>11</v>
      </c>
      <c r="L60" t="n">
        <v>7</v>
      </c>
      <c r="M60" t="n">
        <v>14408.55978559045</v>
      </c>
      <c r="N60" t="n">
        <v>139.7230654076225</v>
      </c>
      <c r="O60">
        <f>IF(N60=0, 0, M60/N60)</f>
        <v/>
      </c>
      <c r="P60">
        <f>RANK(O60, O$2:O$518, 0)</f>
        <v/>
      </c>
      <c r="Q60">
        <f>SUM(C60,F60)</f>
        <v/>
      </c>
      <c r="R60">
        <f>SUM(Q60,G60,H60,D60,E60)</f>
        <v/>
      </c>
      <c r="S60">
        <f>SUM(R60,I60,J60,K60,L60)</f>
        <v/>
      </c>
      <c r="T60">
        <f>IF(R60=0, -1, Q60/R60)</f>
        <v/>
      </c>
      <c r="U60">
        <f>IF(S60=0, -1, Q60/S60)</f>
        <v/>
      </c>
      <c r="V60">
        <f>IF(S60=0, -1, R60/S60)</f>
        <v/>
      </c>
    </row>
    <row r="61">
      <c r="A61" t="inlineStr">
        <is>
          <t>RC00060</t>
        </is>
      </c>
      <c r="B61" t="inlineStr">
        <is>
          <t>暨南大学</t>
        </is>
      </c>
      <c r="C61" t="n">
        <v>0</v>
      </c>
      <c r="D61" t="n">
        <v>0</v>
      </c>
      <c r="E61" t="n">
        <v>0</v>
      </c>
      <c r="F61" t="n">
        <v>0</v>
      </c>
      <c r="G61" t="n">
        <v>3</v>
      </c>
      <c r="H61" t="n">
        <v>6</v>
      </c>
      <c r="I61" t="n">
        <v>5</v>
      </c>
      <c r="J61" t="n">
        <v>12</v>
      </c>
      <c r="K61" t="n">
        <v>7</v>
      </c>
      <c r="L61" t="n">
        <v>7</v>
      </c>
      <c r="M61" t="n">
        <v>31586.0558498008</v>
      </c>
      <c r="N61" t="n">
        <v>173.3872675467455</v>
      </c>
      <c r="O61">
        <f>IF(N61=0, 0, M61/N61)</f>
        <v/>
      </c>
      <c r="P61">
        <f>RANK(O61, O$2:O$518, 0)</f>
        <v/>
      </c>
      <c r="Q61">
        <f>SUM(C61,F61)</f>
        <v/>
      </c>
      <c r="R61">
        <f>SUM(Q61,G61,H61,D61,E61)</f>
        <v/>
      </c>
      <c r="S61">
        <f>SUM(R61,I61,J61,K61,L61)</f>
        <v/>
      </c>
      <c r="T61">
        <f>IF(R61=0, -1, Q61/R61)</f>
        <v/>
      </c>
      <c r="U61">
        <f>IF(S61=0, -1, Q61/S61)</f>
        <v/>
      </c>
      <c r="V61">
        <f>IF(S61=0, -1, R61/S61)</f>
        <v/>
      </c>
    </row>
    <row r="62">
      <c r="A62" t="inlineStr">
        <is>
          <t>RC00098</t>
        </is>
      </c>
      <c r="B62" t="inlineStr">
        <is>
          <t>云南大学</t>
        </is>
      </c>
      <c r="C62" t="n">
        <v>0</v>
      </c>
      <c r="D62" t="n">
        <v>1</v>
      </c>
      <c r="E62" t="n">
        <v>0</v>
      </c>
      <c r="F62" t="n">
        <v>1</v>
      </c>
      <c r="G62" t="n">
        <v>0</v>
      </c>
      <c r="H62" t="n">
        <v>3</v>
      </c>
      <c r="I62" t="n">
        <v>4</v>
      </c>
      <c r="J62" t="n">
        <v>6</v>
      </c>
      <c r="K62" t="n">
        <v>5</v>
      </c>
      <c r="L62" t="n">
        <v>10</v>
      </c>
      <c r="M62" t="n">
        <v>21635.57217850326</v>
      </c>
      <c r="N62" t="n">
        <v>127.8046088506427</v>
      </c>
      <c r="O62">
        <f>IF(N62=0, 0, M62/N62)</f>
        <v/>
      </c>
      <c r="P62">
        <f>RANK(O62, O$2:O$518, 0)</f>
        <v/>
      </c>
      <c r="Q62">
        <f>SUM(C62,F62)</f>
        <v/>
      </c>
      <c r="R62">
        <f>SUM(Q62,G62,H62,D62,E62)</f>
        <v/>
      </c>
      <c r="S62">
        <f>SUM(R62,I62,J62,K62,L62)</f>
        <v/>
      </c>
      <c r="T62">
        <f>IF(R62=0, -1, Q62/R62)</f>
        <v/>
      </c>
      <c r="U62">
        <f>IF(S62=0, -1, Q62/S62)</f>
        <v/>
      </c>
      <c r="V62">
        <f>IF(S62=0, -1, R62/S62)</f>
        <v/>
      </c>
    </row>
    <row r="63">
      <c r="A63" t="inlineStr">
        <is>
          <t>RC00367</t>
        </is>
      </c>
      <c r="B63" t="inlineStr">
        <is>
          <t>深圳大学</t>
        </is>
      </c>
      <c r="C63" t="n">
        <v>0</v>
      </c>
      <c r="D63" t="n">
        <v>0</v>
      </c>
      <c r="E63" t="n">
        <v>0</v>
      </c>
      <c r="F63" t="n">
        <v>0</v>
      </c>
      <c r="G63" t="n">
        <v>4</v>
      </c>
      <c r="H63" t="n">
        <v>4</v>
      </c>
      <c r="I63" t="n">
        <v>6</v>
      </c>
      <c r="J63" t="n">
        <v>13</v>
      </c>
      <c r="K63" t="n">
        <v>7</v>
      </c>
      <c r="L63" t="n">
        <v>2</v>
      </c>
      <c r="M63" t="n">
        <v>27030.27451284107</v>
      </c>
      <c r="N63" t="n">
        <v>159.5039028397186</v>
      </c>
      <c r="O63">
        <f>IF(N63=0, 0, M63/N63)</f>
        <v/>
      </c>
      <c r="P63">
        <f>RANK(O63, O$2:O$518, 0)</f>
        <v/>
      </c>
      <c r="Q63">
        <f>SUM(C63,F63)</f>
        <v/>
      </c>
      <c r="R63">
        <f>SUM(Q63,G63,H63,D63,E63)</f>
        <v/>
      </c>
      <c r="S63">
        <f>SUM(R63,I63,J63,K63,L63)</f>
        <v/>
      </c>
      <c r="T63">
        <f>IF(R63=0, -1, Q63/R63)</f>
        <v/>
      </c>
      <c r="U63">
        <f>IF(S63=0, -1, Q63/S63)</f>
        <v/>
      </c>
      <c r="V63">
        <f>IF(S63=0, -1, R63/S63)</f>
        <v/>
      </c>
    </row>
    <row r="64">
      <c r="A64" t="inlineStr">
        <is>
          <t>RC00640</t>
        </is>
      </c>
      <c r="B64" t="inlineStr">
        <is>
          <t>海南大学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2</v>
      </c>
      <c r="I64" t="n">
        <v>6</v>
      </c>
      <c r="J64" t="n">
        <v>6</v>
      </c>
      <c r="K64" t="n">
        <v>7</v>
      </c>
      <c r="L64" t="n">
        <v>6</v>
      </c>
      <c r="M64" t="n">
        <v>13511.35816786347</v>
      </c>
      <c r="N64" t="n">
        <v>114.4683089335961</v>
      </c>
      <c r="O64">
        <f>IF(N64=0, 0, M64/N64)</f>
        <v/>
      </c>
      <c r="P64">
        <f>RANK(O64, O$2:O$518, 0)</f>
        <v/>
      </c>
      <c r="Q64">
        <f>SUM(C64,F64)</f>
        <v/>
      </c>
      <c r="R64">
        <f>SUM(Q64,G64,H64,D64,E64)</f>
        <v/>
      </c>
      <c r="S64">
        <f>SUM(R64,I64,J64,K64,L64)</f>
        <v/>
      </c>
      <c r="T64">
        <f>IF(R64=0, -1, Q64/R64)</f>
        <v/>
      </c>
      <c r="U64">
        <f>IF(S64=0, -1, Q64/S64)</f>
        <v/>
      </c>
      <c r="V64">
        <f>IF(S64=0, -1, R64/S64)</f>
        <v/>
      </c>
    </row>
    <row r="65">
      <c r="A65" t="inlineStr">
        <is>
          <t>RC00076</t>
        </is>
      </c>
      <c r="B65" t="inlineStr">
        <is>
          <t>扬州大学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2</v>
      </c>
      <c r="I65" t="n">
        <v>5</v>
      </c>
      <c r="J65" t="n">
        <v>8</v>
      </c>
      <c r="K65" t="n">
        <v>5</v>
      </c>
      <c r="L65" t="n">
        <v>10</v>
      </c>
      <c r="M65" t="n">
        <v>14063.5120489574</v>
      </c>
      <c r="N65" t="n">
        <v>125.3022782496447</v>
      </c>
      <c r="O65">
        <f>IF(N65=0, 0, M65/N65)</f>
        <v/>
      </c>
      <c r="P65">
        <f>RANK(O65, O$2:O$518, 0)</f>
        <v/>
      </c>
      <c r="Q65">
        <f>SUM(C65,F65)</f>
        <v/>
      </c>
      <c r="R65">
        <f>SUM(Q65,G65,H65,D65,E65)</f>
        <v/>
      </c>
      <c r="S65">
        <f>SUM(R65,I65,J65,K65,L65)</f>
        <v/>
      </c>
      <c r="T65">
        <f>IF(R65=0, -1, Q65/R65)</f>
        <v/>
      </c>
      <c r="U65">
        <f>IF(S65=0, -1, Q65/S65)</f>
        <v/>
      </c>
      <c r="V65">
        <f>IF(S65=0, -1, R65/S65)</f>
        <v/>
      </c>
    </row>
    <row r="66">
      <c r="A66" t="inlineStr">
        <is>
          <t>RC00608</t>
        </is>
      </c>
      <c r="B66" t="inlineStr">
        <is>
          <t>广州大学</t>
        </is>
      </c>
      <c r="C66" t="n">
        <v>0</v>
      </c>
      <c r="D66" t="n">
        <v>0</v>
      </c>
      <c r="E66" t="n">
        <v>0</v>
      </c>
      <c r="F66" t="n">
        <v>0</v>
      </c>
      <c r="G66" t="n">
        <v>1</v>
      </c>
      <c r="H66" t="n">
        <v>3</v>
      </c>
      <c r="I66" t="n">
        <v>7</v>
      </c>
      <c r="J66" t="n">
        <v>7</v>
      </c>
      <c r="K66" t="n">
        <v>2</v>
      </c>
      <c r="L66" t="n">
        <v>10</v>
      </c>
      <c r="M66" t="n">
        <v>16318.57440315293</v>
      </c>
      <c r="N66" t="n">
        <v>132.550329396532</v>
      </c>
      <c r="O66">
        <f>IF(N66=0, 0, M66/N66)</f>
        <v/>
      </c>
      <c r="P66">
        <f>RANK(O66, O$2:O$518, 0)</f>
        <v/>
      </c>
      <c r="Q66">
        <f>SUM(C66,F66)</f>
        <v/>
      </c>
      <c r="R66">
        <f>SUM(Q66,G66,H66,D66,E66)</f>
        <v/>
      </c>
      <c r="S66">
        <f>SUM(R66,I66,J66,K66,L66)</f>
        <v/>
      </c>
      <c r="T66">
        <f>IF(R66=0, -1, Q66/R66)</f>
        <v/>
      </c>
      <c r="U66">
        <f>IF(S66=0, -1, Q66/S66)</f>
        <v/>
      </c>
      <c r="V66">
        <f>IF(S66=0, -1, R66/S66)</f>
        <v/>
      </c>
    </row>
    <row r="67">
      <c r="A67" t="inlineStr">
        <is>
          <t>RC00236</t>
        </is>
      </c>
      <c r="B67" t="inlineStr">
        <is>
          <t>内蒙古师范大学</t>
        </is>
      </c>
      <c r="C67" t="n">
        <v>0</v>
      </c>
      <c r="D67" t="n">
        <v>1</v>
      </c>
      <c r="E67" t="n">
        <v>0</v>
      </c>
      <c r="F67" t="n">
        <v>0</v>
      </c>
      <c r="G67" t="n">
        <v>0</v>
      </c>
      <c r="H67" t="n">
        <v>1</v>
      </c>
      <c r="I67" t="n">
        <v>0</v>
      </c>
      <c r="J67" t="n">
        <v>2</v>
      </c>
      <c r="K67" t="n">
        <v>2</v>
      </c>
      <c r="L67" t="n">
        <v>4</v>
      </c>
      <c r="M67" t="n">
        <v>6181.324857559209</v>
      </c>
      <c r="N67" t="n">
        <v>41.337772923896</v>
      </c>
      <c r="O67">
        <f>IF(N67=0, 0, M67/N67)</f>
        <v/>
      </c>
      <c r="P67">
        <f>RANK(O67, O$2:O$518, 0)</f>
        <v/>
      </c>
      <c r="Q67">
        <f>SUM(C67,F67)</f>
        <v/>
      </c>
      <c r="R67">
        <f>SUM(Q67,G67,H67,D67,E67)</f>
        <v/>
      </c>
      <c r="S67">
        <f>SUM(R67,I67,J67,K67,L67)</f>
        <v/>
      </c>
      <c r="T67">
        <f>IF(R67=0, -1, Q67/R67)</f>
        <v/>
      </c>
      <c r="U67">
        <f>IF(S67=0, -1, Q67/S67)</f>
        <v/>
      </c>
      <c r="V67">
        <f>IF(S67=0, -1, R67/S67)</f>
        <v/>
      </c>
    </row>
    <row r="68">
      <c r="A68" t="inlineStr">
        <is>
          <t>RC00021</t>
        </is>
      </c>
      <c r="B68" t="inlineStr">
        <is>
          <t>中南大学</t>
        </is>
      </c>
      <c r="C68" t="n">
        <v>2</v>
      </c>
      <c r="D68" t="n">
        <v>0</v>
      </c>
      <c r="E68" t="n">
        <v>1</v>
      </c>
      <c r="F68" t="n">
        <v>0</v>
      </c>
      <c r="G68" t="n">
        <v>5</v>
      </c>
      <c r="H68" t="n">
        <v>9</v>
      </c>
      <c r="I68" t="n">
        <v>9</v>
      </c>
      <c r="J68" t="n">
        <v>10</v>
      </c>
      <c r="K68" t="n">
        <v>4</v>
      </c>
      <c r="L68" t="n">
        <v>4</v>
      </c>
      <c r="M68" t="n">
        <v>42719.15242150993</v>
      </c>
      <c r="N68" t="n">
        <v>182.8525689080089</v>
      </c>
      <c r="O68">
        <f>IF(N68=0, 0, M68/N68)</f>
        <v/>
      </c>
      <c r="P68">
        <f>RANK(O68, O$2:O$518, 0)</f>
        <v/>
      </c>
      <c r="Q68">
        <f>SUM(C68,F68)</f>
        <v/>
      </c>
      <c r="R68">
        <f>SUM(Q68,G68,H68,D68,E68)</f>
        <v/>
      </c>
      <c r="S68">
        <f>SUM(R68,I68,J68,K68,L68)</f>
        <v/>
      </c>
      <c r="T68">
        <f>IF(R68=0, -1, Q68/R68)</f>
        <v/>
      </c>
      <c r="U68">
        <f>IF(S68=0, -1, Q68/S68)</f>
        <v/>
      </c>
      <c r="V68">
        <f>IF(S68=0, -1, R68/S68)</f>
        <v/>
      </c>
    </row>
    <row r="69">
      <c r="A69" t="inlineStr">
        <is>
          <t>RC00658</t>
        </is>
      </c>
      <c r="B69" t="inlineStr">
        <is>
          <t>西南财经大学</t>
        </is>
      </c>
      <c r="C69" t="n">
        <v>0</v>
      </c>
      <c r="D69" t="n">
        <v>0</v>
      </c>
      <c r="E69" t="n">
        <v>0</v>
      </c>
      <c r="F69" t="n">
        <v>1</v>
      </c>
      <c r="G69" t="n">
        <v>3</v>
      </c>
      <c r="H69" t="n">
        <v>0</v>
      </c>
      <c r="I69" t="n">
        <v>2</v>
      </c>
      <c r="J69" t="n">
        <v>1</v>
      </c>
      <c r="K69" t="n">
        <v>3</v>
      </c>
      <c r="L69" t="n">
        <v>1</v>
      </c>
      <c r="M69" t="n">
        <v>12704.35587151878</v>
      </c>
      <c r="N69" t="n">
        <v>49.91325494024953</v>
      </c>
      <c r="O69">
        <f>IF(N69=0, 0, M69/N69)</f>
        <v/>
      </c>
      <c r="P69">
        <f>RANK(O69, O$2:O$518, 0)</f>
        <v/>
      </c>
      <c r="Q69">
        <f>SUM(C69,F69)</f>
        <v/>
      </c>
      <c r="R69">
        <f>SUM(Q69,G69,H69,D69,E69)</f>
        <v/>
      </c>
      <c r="S69">
        <f>SUM(R69,I69,J69,K69,L69)</f>
        <v/>
      </c>
      <c r="T69">
        <f>IF(R69=0, -1, Q69/R69)</f>
        <v/>
      </c>
      <c r="U69">
        <f>IF(S69=0, -1, Q69/S69)</f>
        <v/>
      </c>
      <c r="V69">
        <f>IF(S69=0, -1, R69/S69)</f>
        <v/>
      </c>
    </row>
    <row r="70">
      <c r="A70" t="inlineStr">
        <is>
          <t>RC00139</t>
        </is>
      </c>
      <c r="B70" t="inlineStr">
        <is>
          <t>中央财经大学</t>
        </is>
      </c>
      <c r="C70" t="n">
        <v>0</v>
      </c>
      <c r="D70" t="n">
        <v>0</v>
      </c>
      <c r="E70" t="n">
        <v>0</v>
      </c>
      <c r="F70" t="n">
        <v>1</v>
      </c>
      <c r="G70" t="n">
        <v>0</v>
      </c>
      <c r="H70" t="n">
        <v>2</v>
      </c>
      <c r="I70" t="n">
        <v>3</v>
      </c>
      <c r="J70" t="n">
        <v>2</v>
      </c>
      <c r="K70" t="n">
        <v>3</v>
      </c>
      <c r="L70" t="n">
        <v>1</v>
      </c>
      <c r="M70" t="n">
        <v>11391.36256030783</v>
      </c>
      <c r="N70" t="n">
        <v>53.75154091076874</v>
      </c>
      <c r="O70">
        <f>IF(N70=0, 0, M70/N70)</f>
        <v/>
      </c>
      <c r="P70">
        <f>RANK(O70, O$2:O$518, 0)</f>
        <v/>
      </c>
      <c r="Q70">
        <f>SUM(C70,F70)</f>
        <v/>
      </c>
      <c r="R70">
        <f>SUM(Q70,G70,H70,D70,E70)</f>
        <v/>
      </c>
      <c r="S70">
        <f>SUM(R70,I70,J70,K70,L70)</f>
        <v/>
      </c>
      <c r="T70">
        <f>IF(R70=0, -1, Q70/R70)</f>
        <v/>
      </c>
      <c r="U70">
        <f>IF(S70=0, -1, Q70/S70)</f>
        <v/>
      </c>
      <c r="V70">
        <f>IF(S70=0, -1, R70/S70)</f>
        <v/>
      </c>
    </row>
    <row r="71">
      <c r="A71" t="inlineStr">
        <is>
          <t>RC00454</t>
        </is>
      </c>
      <c r="B71" t="inlineStr">
        <is>
          <t>江西财经大学</t>
        </is>
      </c>
      <c r="C71" t="n">
        <v>0</v>
      </c>
      <c r="D71" t="n">
        <v>0</v>
      </c>
      <c r="E71" t="n">
        <v>0</v>
      </c>
      <c r="F71" t="n">
        <v>0</v>
      </c>
      <c r="G71" t="n">
        <v>1</v>
      </c>
      <c r="H71" t="n">
        <v>2</v>
      </c>
      <c r="I71" t="n">
        <v>3</v>
      </c>
      <c r="J71" t="n">
        <v>3</v>
      </c>
      <c r="K71" t="n">
        <v>2</v>
      </c>
      <c r="L71" t="n">
        <v>2</v>
      </c>
      <c r="M71" t="n">
        <v>11459.15203167002</v>
      </c>
      <c r="N71" t="n">
        <v>58.51340423832686</v>
      </c>
      <c r="O71">
        <f>IF(N71=0, 0, M71/N71)</f>
        <v/>
      </c>
      <c r="P71">
        <f>RANK(O71, O$2:O$518, 0)</f>
        <v/>
      </c>
      <c r="Q71">
        <f>SUM(C71,F71)</f>
        <v/>
      </c>
      <c r="R71">
        <f>SUM(Q71,G71,H71,D71,E71)</f>
        <v/>
      </c>
      <c r="S71">
        <f>SUM(R71,I71,J71,K71,L71)</f>
        <v/>
      </c>
      <c r="T71">
        <f>IF(R71=0, -1, Q71/R71)</f>
        <v/>
      </c>
      <c r="U71">
        <f>IF(S71=0, -1, Q71/S71)</f>
        <v/>
      </c>
      <c r="V71">
        <f>IF(S71=0, -1, R71/S71)</f>
        <v/>
      </c>
    </row>
    <row r="72">
      <c r="A72" t="inlineStr">
        <is>
          <t>RC00244</t>
        </is>
      </c>
      <c r="B72" t="inlineStr">
        <is>
          <t>辽宁大学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1</v>
      </c>
      <c r="I72" t="n">
        <v>2</v>
      </c>
      <c r="J72" t="n">
        <v>0</v>
      </c>
      <c r="K72" t="n">
        <v>3</v>
      </c>
      <c r="L72" t="n">
        <v>1</v>
      </c>
      <c r="M72" t="n">
        <v>3443.558848465277</v>
      </c>
      <c r="N72" t="n">
        <v>32.36109230218779</v>
      </c>
      <c r="O72">
        <f>IF(N72=0, 0, M72/N72)</f>
        <v/>
      </c>
      <c r="P72">
        <f>RANK(O72, O$2:O$518, 0)</f>
        <v/>
      </c>
      <c r="Q72">
        <f>SUM(C72,F72)</f>
        <v/>
      </c>
      <c r="R72">
        <f>SUM(Q72,G72,H72,D72,E72)</f>
        <v/>
      </c>
      <c r="S72">
        <f>SUM(R72,I72,J72,K72,L72)</f>
        <v/>
      </c>
      <c r="T72">
        <f>IF(R72=0, -1, Q72/R72)</f>
        <v/>
      </c>
      <c r="U72">
        <f>IF(S72=0, -1, Q72/S72)</f>
        <v/>
      </c>
      <c r="V72">
        <f>IF(S72=0, -1, R72/S72)</f>
        <v/>
      </c>
    </row>
    <row r="73">
      <c r="A73" t="inlineStr">
        <is>
          <t>RC00140</t>
        </is>
      </c>
      <c r="B73" t="inlineStr">
        <is>
          <t>对外经济贸易大学</t>
        </is>
      </c>
      <c r="C73" t="n">
        <v>0</v>
      </c>
      <c r="D73" t="n">
        <v>0</v>
      </c>
      <c r="E73" t="n">
        <v>0</v>
      </c>
      <c r="F73" t="n">
        <v>1</v>
      </c>
      <c r="G73" t="n">
        <v>1</v>
      </c>
      <c r="H73" t="n">
        <v>1</v>
      </c>
      <c r="I73" t="n">
        <v>1</v>
      </c>
      <c r="J73" t="n">
        <v>4</v>
      </c>
      <c r="K73" t="n">
        <v>1</v>
      </c>
      <c r="L73" t="n">
        <v>0</v>
      </c>
      <c r="M73" t="n">
        <v>9937.750262585871</v>
      </c>
      <c r="N73" t="n">
        <v>41.46674976515527</v>
      </c>
      <c r="O73">
        <f>IF(N73=0, 0, M73/N73)</f>
        <v/>
      </c>
      <c r="P73">
        <f>RANK(O73, O$2:O$518, 0)</f>
        <v/>
      </c>
      <c r="Q73">
        <f>SUM(C73,F73)</f>
        <v/>
      </c>
      <c r="R73">
        <f>SUM(Q73,G73,H73,D73,E73)</f>
        <v/>
      </c>
      <c r="S73">
        <f>SUM(R73,I73,J73,K73,L73)</f>
        <v/>
      </c>
      <c r="T73">
        <f>IF(R73=0, -1, Q73/R73)</f>
        <v/>
      </c>
      <c r="U73">
        <f>IF(S73=0, -1, Q73/S73)</f>
        <v/>
      </c>
      <c r="V73">
        <f>IF(S73=0, -1, R73/S73)</f>
        <v/>
      </c>
    </row>
    <row r="74">
      <c r="A74" t="inlineStr">
        <is>
          <t>RC00356</t>
        </is>
      </c>
      <c r="B74" t="inlineStr">
        <is>
          <t>南京财经大学</t>
        </is>
      </c>
      <c r="C74" t="n">
        <v>0</v>
      </c>
      <c r="D74" t="n">
        <v>0</v>
      </c>
      <c r="E74" t="n">
        <v>0</v>
      </c>
      <c r="F74" t="n">
        <v>0</v>
      </c>
      <c r="G74" t="n">
        <v>1</v>
      </c>
      <c r="H74" t="n">
        <v>1</v>
      </c>
      <c r="I74" t="n">
        <v>3</v>
      </c>
      <c r="J74" t="n">
        <v>2</v>
      </c>
      <c r="K74" t="n">
        <v>2</v>
      </c>
      <c r="L74" t="n">
        <v>2</v>
      </c>
      <c r="M74" t="n">
        <v>7018.036538202345</v>
      </c>
      <c r="N74" t="n">
        <v>51.20354818194173</v>
      </c>
      <c r="O74">
        <f>IF(N74=0, 0, M74/N74)</f>
        <v/>
      </c>
      <c r="P74">
        <f>RANK(O74, O$2:O$518, 0)</f>
        <v/>
      </c>
      <c r="Q74">
        <f>SUM(C74,F74)</f>
        <v/>
      </c>
      <c r="R74">
        <f>SUM(Q74,G74,H74,D74,E74)</f>
        <v/>
      </c>
      <c r="S74">
        <f>SUM(R74,I74,J74,K74,L74)</f>
        <v/>
      </c>
      <c r="T74">
        <f>IF(R74=0, -1, Q74/R74)</f>
        <v/>
      </c>
      <c r="U74">
        <f>IF(S74=0, -1, Q74/S74)</f>
        <v/>
      </c>
      <c r="V74">
        <f>IF(S74=0, -1, R74/S74)</f>
        <v/>
      </c>
    </row>
    <row r="75">
      <c r="A75" t="inlineStr">
        <is>
          <t>RC00477</t>
        </is>
      </c>
      <c r="B75" t="inlineStr">
        <is>
          <t>山东师范大学</t>
        </is>
      </c>
      <c r="C75" t="n">
        <v>0</v>
      </c>
      <c r="D75" t="n">
        <v>0</v>
      </c>
      <c r="E75" t="n">
        <v>0</v>
      </c>
      <c r="F75" t="n">
        <v>0</v>
      </c>
      <c r="G75" t="n">
        <v>1</v>
      </c>
      <c r="H75" t="n">
        <v>1</v>
      </c>
      <c r="I75" t="n">
        <v>5</v>
      </c>
      <c r="J75" t="n">
        <v>5</v>
      </c>
      <c r="K75" t="n">
        <v>6</v>
      </c>
      <c r="L75" t="n">
        <v>5</v>
      </c>
      <c r="M75" t="n">
        <v>12509.19864061202</v>
      </c>
      <c r="N75" t="n">
        <v>103.5954673060821</v>
      </c>
      <c r="O75">
        <f>IF(N75=0, 0, M75/N75)</f>
        <v/>
      </c>
      <c r="P75">
        <f>RANK(O75, O$2:O$518, 0)</f>
        <v/>
      </c>
      <c r="Q75">
        <f>SUM(C75,F75)</f>
        <v/>
      </c>
      <c r="R75">
        <f>SUM(Q75,G75,H75,D75,E75)</f>
        <v/>
      </c>
      <c r="S75">
        <f>SUM(R75,I75,J75,K75,L75)</f>
        <v/>
      </c>
      <c r="T75">
        <f>IF(R75=0, -1, Q75/R75)</f>
        <v/>
      </c>
      <c r="U75">
        <f>IF(S75=0, -1, Q75/S75)</f>
        <v/>
      </c>
      <c r="V75">
        <f>IF(S75=0, -1, R75/S75)</f>
        <v/>
      </c>
    </row>
    <row r="76">
      <c r="A76" t="inlineStr">
        <is>
          <t>RC00365</t>
        </is>
      </c>
      <c r="B76" t="inlineStr">
        <is>
          <t>南京审计大学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2</v>
      </c>
      <c r="I76" t="n">
        <v>1</v>
      </c>
      <c r="J76" t="n">
        <v>1</v>
      </c>
      <c r="K76" t="n">
        <v>2</v>
      </c>
      <c r="L76" t="n">
        <v>0</v>
      </c>
      <c r="M76" t="n">
        <v>4619.366721361149</v>
      </c>
      <c r="N76" t="n">
        <v>27.61516960743095</v>
      </c>
      <c r="O76">
        <f>IF(N76=0, 0, M76/N76)</f>
        <v/>
      </c>
      <c r="P76">
        <f>RANK(O76, O$2:O$518, 0)</f>
        <v/>
      </c>
      <c r="Q76">
        <f>SUM(C76,F76)</f>
        <v/>
      </c>
      <c r="R76">
        <f>SUM(Q76,G76,H76,D76,E76)</f>
        <v/>
      </c>
      <c r="S76">
        <f>SUM(R76,I76,J76,K76,L76)</f>
        <v/>
      </c>
      <c r="T76">
        <f>IF(R76=0, -1, Q76/R76)</f>
        <v/>
      </c>
      <c r="U76">
        <f>IF(S76=0, -1, Q76/S76)</f>
        <v/>
      </c>
      <c r="V76">
        <f>IF(S76=0, -1, R76/S76)</f>
        <v/>
      </c>
    </row>
    <row r="77">
      <c r="A77" t="inlineStr">
        <is>
          <t>RC00268</t>
        </is>
      </c>
      <c r="B77" t="inlineStr">
        <is>
          <t>东北财经大学</t>
        </is>
      </c>
      <c r="C77" t="n">
        <v>0</v>
      </c>
      <c r="D77" t="n">
        <v>0</v>
      </c>
      <c r="E77" t="n">
        <v>0</v>
      </c>
      <c r="F77" t="n">
        <v>0</v>
      </c>
      <c r="G77" t="n">
        <v>2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7095.644412557774</v>
      </c>
      <c r="N77" t="n">
        <v>27.64137197982497</v>
      </c>
      <c r="O77">
        <f>IF(N77=0, 0, M77/N77)</f>
        <v/>
      </c>
      <c r="P77">
        <f>RANK(O77, O$2:O$518, 0)</f>
        <v/>
      </c>
      <c r="Q77">
        <f>SUM(C77,F77)</f>
        <v/>
      </c>
      <c r="R77">
        <f>SUM(Q77,G77,H77,D77,E77)</f>
        <v/>
      </c>
      <c r="S77">
        <f>SUM(R77,I77,J77,K77,L77)</f>
        <v/>
      </c>
      <c r="T77">
        <f>IF(R77=0, -1, Q77/R77)</f>
        <v/>
      </c>
      <c r="U77">
        <f>IF(S77=0, -1, Q77/S77)</f>
        <v/>
      </c>
      <c r="V77">
        <f>IF(S77=0, -1, R77/S77)</f>
        <v/>
      </c>
    </row>
    <row r="78">
      <c r="A78" t="inlineStr">
        <is>
          <t>RC00142</t>
        </is>
      </c>
      <c r="B78" t="inlineStr">
        <is>
          <t>首都经济贸易大学</t>
        </is>
      </c>
      <c r="C78" t="n">
        <v>0</v>
      </c>
      <c r="D78" t="n">
        <v>0</v>
      </c>
      <c r="E78" t="n">
        <v>0</v>
      </c>
      <c r="F78" t="n">
        <v>0</v>
      </c>
      <c r="G78" t="n">
        <v>1</v>
      </c>
      <c r="H78" t="n">
        <v>1</v>
      </c>
      <c r="I78" t="n">
        <v>1</v>
      </c>
      <c r="J78" t="n">
        <v>1</v>
      </c>
      <c r="K78" t="n">
        <v>3</v>
      </c>
      <c r="L78" t="n">
        <v>0</v>
      </c>
      <c r="M78" t="n">
        <v>5336.745936711003</v>
      </c>
      <c r="N78" t="n">
        <v>32.36875979853731</v>
      </c>
      <c r="O78">
        <f>IF(N78=0, 0, M78/N78)</f>
        <v/>
      </c>
      <c r="P78">
        <f>RANK(O78, O$2:O$518, 0)</f>
        <v/>
      </c>
      <c r="Q78">
        <f>SUM(C78,F78)</f>
        <v/>
      </c>
      <c r="R78">
        <f>SUM(Q78,G78,H78,D78,E78)</f>
        <v/>
      </c>
      <c r="S78">
        <f>SUM(R78,I78,J78,K78,L78)</f>
        <v/>
      </c>
      <c r="T78">
        <f>IF(R78=0, -1, Q78/R78)</f>
        <v/>
      </c>
      <c r="U78">
        <f>IF(S78=0, -1, Q78/S78)</f>
        <v/>
      </c>
      <c r="V78">
        <f>IF(S78=0, -1, R78/S78)</f>
        <v/>
      </c>
    </row>
    <row r="79">
      <c r="A79" t="inlineStr">
        <is>
          <t>RC00716</t>
        </is>
      </c>
      <c r="B79" t="inlineStr">
        <is>
          <t>云南财经大学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1</v>
      </c>
      <c r="J79" t="n">
        <v>1</v>
      </c>
      <c r="K79" t="n">
        <v>1</v>
      </c>
      <c r="L79" t="n">
        <v>1</v>
      </c>
      <c r="M79" t="n">
        <v>1752.012497083139</v>
      </c>
      <c r="N79" t="n">
        <v>18.16039397000627</v>
      </c>
      <c r="O79">
        <f>IF(N79=0, 0, M79/N79)</f>
        <v/>
      </c>
      <c r="P79">
        <f>RANK(O79, O$2:O$518, 0)</f>
        <v/>
      </c>
      <c r="Q79">
        <f>SUM(C79,F79)</f>
        <v/>
      </c>
      <c r="R79">
        <f>SUM(Q79,G79,H79,D79,E79)</f>
        <v/>
      </c>
      <c r="S79">
        <f>SUM(R79,I79,J79,K79,L79)</f>
        <v/>
      </c>
      <c r="T79">
        <f>IF(R79=0, -1, Q79/R79)</f>
        <v/>
      </c>
      <c r="U79">
        <f>IF(S79=0, -1, Q79/S79)</f>
        <v/>
      </c>
      <c r="V79">
        <f>IF(S79=0, -1, R79/S79)</f>
        <v/>
      </c>
    </row>
    <row r="80">
      <c r="A80" t="inlineStr">
        <is>
          <t>RC00414</t>
        </is>
      </c>
      <c r="B80" t="inlineStr">
        <is>
          <t>安徽财经大学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2</v>
      </c>
      <c r="J80" t="n">
        <v>1</v>
      </c>
      <c r="K80" t="n">
        <v>1</v>
      </c>
      <c r="L80" t="n">
        <v>1</v>
      </c>
      <c r="M80" t="n">
        <v>2987.010052024033</v>
      </c>
      <c r="N80" t="n">
        <v>22.88778178871861</v>
      </c>
      <c r="O80">
        <f>IF(N80=0, 0, M80/N80)</f>
        <v/>
      </c>
      <c r="P80">
        <f>RANK(O80, O$2:O$518, 0)</f>
        <v/>
      </c>
      <c r="Q80">
        <f>SUM(C80,F80)</f>
        <v/>
      </c>
      <c r="R80">
        <f>SUM(Q80,G80,H80,D80,E80)</f>
        <v/>
      </c>
      <c r="S80">
        <f>SUM(R80,I80,J80,K80,L80)</f>
        <v/>
      </c>
      <c r="T80">
        <f>IF(R80=0, -1, Q80/R80)</f>
        <v/>
      </c>
      <c r="U80">
        <f>IF(S80=0, -1, Q80/S80)</f>
        <v/>
      </c>
      <c r="V80">
        <f>IF(S80=0, -1, R80/S80)</f>
        <v/>
      </c>
    </row>
    <row r="81">
      <c r="A81" t="inlineStr">
        <is>
          <t>RC00036</t>
        </is>
      </c>
      <c r="B81" t="inlineStr">
        <is>
          <t>北京理工大学</t>
        </is>
      </c>
      <c r="C81" t="n">
        <v>1</v>
      </c>
      <c r="D81" t="n">
        <v>0</v>
      </c>
      <c r="E81" t="n">
        <v>0</v>
      </c>
      <c r="F81" t="n">
        <v>5</v>
      </c>
      <c r="G81" t="n">
        <v>7</v>
      </c>
      <c r="H81" t="n">
        <v>8</v>
      </c>
      <c r="I81" t="n">
        <v>5</v>
      </c>
      <c r="J81" t="n">
        <v>3</v>
      </c>
      <c r="K81" t="n">
        <v>2</v>
      </c>
      <c r="L81" t="n">
        <v>0</v>
      </c>
      <c r="M81" t="n">
        <v>51692.41221254914</v>
      </c>
      <c r="N81" t="n">
        <v>133.8974250076987</v>
      </c>
      <c r="O81">
        <f>IF(N81=0, 0, M81/N81)</f>
        <v/>
      </c>
      <c r="P81">
        <f>RANK(O81, O$2:O$518, 0)</f>
        <v/>
      </c>
      <c r="Q81">
        <f>SUM(C81,F81)</f>
        <v/>
      </c>
      <c r="R81">
        <f>SUM(Q81,G81,H81,D81,E81)</f>
        <v/>
      </c>
      <c r="S81">
        <f>SUM(R81,I81,J81,K81,L81)</f>
        <v/>
      </c>
      <c r="T81">
        <f>IF(R81=0, -1, Q81/R81)</f>
        <v/>
      </c>
      <c r="U81">
        <f>IF(S81=0, -1, Q81/S81)</f>
        <v/>
      </c>
      <c r="V81">
        <f>IF(S81=0, -1, R81/S81)</f>
        <v/>
      </c>
    </row>
    <row r="82">
      <c r="A82" t="inlineStr">
        <is>
          <t>RC00429</t>
        </is>
      </c>
      <c r="B82" t="inlineStr">
        <is>
          <t>福建师范大学</t>
        </is>
      </c>
      <c r="C82" t="n">
        <v>0</v>
      </c>
      <c r="D82" t="n">
        <v>0</v>
      </c>
      <c r="E82" t="n">
        <v>0</v>
      </c>
      <c r="F82" t="n">
        <v>0</v>
      </c>
      <c r="G82" t="n">
        <v>2</v>
      </c>
      <c r="H82" t="n">
        <v>2</v>
      </c>
      <c r="I82" t="n">
        <v>5</v>
      </c>
      <c r="J82" t="n">
        <v>8</v>
      </c>
      <c r="K82" t="n">
        <v>4</v>
      </c>
      <c r="L82" t="n">
        <v>6</v>
      </c>
      <c r="M82" t="n">
        <v>16251.81227584226</v>
      </c>
      <c r="N82" t="n">
        <v>117.5570304959139</v>
      </c>
      <c r="O82">
        <f>IF(N82=0, 0, M82/N82)</f>
        <v/>
      </c>
      <c r="P82">
        <f>RANK(O82, O$2:O$518, 0)</f>
        <v/>
      </c>
      <c r="Q82">
        <f>SUM(C82,F82)</f>
        <v/>
      </c>
      <c r="R82">
        <f>SUM(Q82,G82,H82,D82,E82)</f>
        <v/>
      </c>
      <c r="S82">
        <f>SUM(R82,I82,J82,K82,L82)</f>
        <v/>
      </c>
      <c r="T82">
        <f>IF(R82=0, -1, Q82/R82)</f>
        <v/>
      </c>
      <c r="U82">
        <f>IF(S82=0, -1, Q82/S82)</f>
        <v/>
      </c>
      <c r="V82">
        <f>IF(S82=0, -1, R82/S82)</f>
        <v/>
      </c>
    </row>
    <row r="83">
      <c r="A83" t="inlineStr">
        <is>
          <t>RC00057</t>
        </is>
      </c>
      <c r="B83" t="inlineStr">
        <is>
          <t>合肥工业大学</t>
        </is>
      </c>
      <c r="C83" t="n">
        <v>0</v>
      </c>
      <c r="D83" t="n">
        <v>0</v>
      </c>
      <c r="E83" t="n">
        <v>0</v>
      </c>
      <c r="F83" t="n">
        <v>1</v>
      </c>
      <c r="G83" t="n">
        <v>0</v>
      </c>
      <c r="H83" t="n">
        <v>2</v>
      </c>
      <c r="I83" t="n">
        <v>4</v>
      </c>
      <c r="J83" t="n">
        <v>7</v>
      </c>
      <c r="K83" t="n">
        <v>6</v>
      </c>
      <c r="L83" t="n">
        <v>9</v>
      </c>
      <c r="M83" t="n">
        <v>14819.78337533566</v>
      </c>
      <c r="N83" t="n">
        <v>126.1162846986882</v>
      </c>
      <c r="O83">
        <f>IF(N83=0, 0, M83/N83)</f>
        <v/>
      </c>
      <c r="P83">
        <f>RANK(O83, O$2:O$518, 0)</f>
        <v/>
      </c>
      <c r="Q83">
        <f>SUM(C83,F83)</f>
        <v/>
      </c>
      <c r="R83">
        <f>SUM(Q83,G83,H83,D83,E83)</f>
        <v/>
      </c>
      <c r="S83">
        <f>SUM(R83,I83,J83,K83,L83)</f>
        <v/>
      </c>
      <c r="T83">
        <f>IF(R83=0, -1, Q83/R83)</f>
        <v/>
      </c>
      <c r="U83">
        <f>IF(S83=0, -1, Q83/S83)</f>
        <v/>
      </c>
      <c r="V83">
        <f>IF(S83=0, -1, R83/S83)</f>
        <v/>
      </c>
    </row>
    <row r="84">
      <c r="A84" t="inlineStr">
        <is>
          <t>RC00224</t>
        </is>
      </c>
      <c r="B84" t="inlineStr">
        <is>
          <t>山西财经大学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</v>
      </c>
      <c r="J84" t="n">
        <v>2</v>
      </c>
      <c r="K84" t="n">
        <v>1</v>
      </c>
      <c r="L84" t="n">
        <v>2</v>
      </c>
      <c r="M84" t="n">
        <v>2840.743572762754</v>
      </c>
      <c r="N84" t="n">
        <v>27.64137197982497</v>
      </c>
      <c r="O84">
        <f>IF(N84=0, 0, M84/N84)</f>
        <v/>
      </c>
      <c r="P84">
        <f>RANK(O84, O$2:O$518, 0)</f>
        <v/>
      </c>
      <c r="Q84">
        <f>SUM(C84,F84)</f>
        <v/>
      </c>
      <c r="R84">
        <f>SUM(Q84,G84,H84,D84,E84)</f>
        <v/>
      </c>
      <c r="S84">
        <f>SUM(R84,I84,J84,K84,L84)</f>
        <v/>
      </c>
      <c r="T84">
        <f>IF(R84=0, -1, Q84/R84)</f>
        <v/>
      </c>
      <c r="U84">
        <f>IF(S84=0, -1, Q84/S84)</f>
        <v/>
      </c>
      <c r="V84">
        <f>IF(S84=0, -1, R84/S84)</f>
        <v/>
      </c>
    </row>
    <row r="85">
      <c r="A85" t="inlineStr">
        <is>
          <t>RC00777</t>
        </is>
      </c>
      <c r="B85" t="inlineStr">
        <is>
          <t>新疆大学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3</v>
      </c>
      <c r="J85" t="n">
        <v>2</v>
      </c>
      <c r="K85" t="n">
        <v>5</v>
      </c>
      <c r="L85" t="n">
        <v>6</v>
      </c>
      <c r="M85" t="n">
        <v>6514.153183228789</v>
      </c>
      <c r="N85" t="n">
        <v>71.49045125330836</v>
      </c>
      <c r="O85">
        <f>IF(N85=0, 0, M85/N85)</f>
        <v/>
      </c>
      <c r="P85">
        <f>RANK(O85, O$2:O$518, 0)</f>
        <v/>
      </c>
      <c r="Q85">
        <f>SUM(C85,F85)</f>
        <v/>
      </c>
      <c r="R85">
        <f>SUM(Q85,G85,H85,D85,E85)</f>
        <v/>
      </c>
      <c r="S85">
        <f>SUM(R85,I85,J85,K85,L85)</f>
        <v/>
      </c>
      <c r="T85">
        <f>IF(R85=0, -1, Q85/R85)</f>
        <v/>
      </c>
      <c r="U85">
        <f>IF(S85=0, -1, Q85/S85)</f>
        <v/>
      </c>
      <c r="V85">
        <f>IF(S85=0, -1, R85/S85)</f>
        <v/>
      </c>
    </row>
    <row r="86">
      <c r="A86" t="inlineStr">
        <is>
          <t>RC00699</t>
        </is>
      </c>
      <c r="B86" t="inlineStr">
        <is>
          <t>贵州财经大学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 t="n">
        <v>4</v>
      </c>
      <c r="M86" t="n">
        <v>1967.258299710759</v>
      </c>
      <c r="N86" t="n">
        <v>29.04668496192884</v>
      </c>
      <c r="O86">
        <f>IF(N86=0, 0, M86/N86)</f>
        <v/>
      </c>
      <c r="P86">
        <f>RANK(O86, O$2:O$518, 0)</f>
        <v/>
      </c>
      <c r="Q86">
        <f>SUM(C86,F86)</f>
        <v/>
      </c>
      <c r="R86">
        <f>SUM(Q86,G86,H86,D86,E86)</f>
        <v/>
      </c>
      <c r="S86">
        <f>SUM(R86,I86,J86,K86,L86)</f>
        <v/>
      </c>
      <c r="T86">
        <f>IF(R86=0, -1, Q86/R86)</f>
        <v/>
      </c>
      <c r="U86">
        <f>IF(S86=0, -1, Q86/S86)</f>
        <v/>
      </c>
      <c r="V86">
        <f>IF(S86=0, -1, R86/S86)</f>
        <v/>
      </c>
    </row>
    <row r="87">
      <c r="A87" t="inlineStr">
        <is>
          <t>RC00395</t>
        </is>
      </c>
      <c r="B87" t="inlineStr">
        <is>
          <t>浙江财经大学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2</v>
      </c>
      <c r="I87" t="n">
        <v>1</v>
      </c>
      <c r="J87" t="n">
        <v>3</v>
      </c>
      <c r="K87" t="n">
        <v>0</v>
      </c>
      <c r="L87" t="n">
        <v>3</v>
      </c>
      <c r="M87" t="n">
        <v>5740.467176996035</v>
      </c>
      <c r="N87" t="n">
        <v>40.75712774739182</v>
      </c>
      <c r="O87">
        <f>IF(N87=0, 0, M87/N87)</f>
        <v/>
      </c>
      <c r="P87">
        <f>RANK(O87, O$2:O$518, 0)</f>
        <v/>
      </c>
      <c r="Q87">
        <f>SUM(C87,F87)</f>
        <v/>
      </c>
      <c r="R87">
        <f>SUM(Q87,G87,H87,D87,E87)</f>
        <v/>
      </c>
      <c r="S87">
        <f>SUM(R87,I87,J87,K87,L87)</f>
        <v/>
      </c>
      <c r="T87">
        <f>IF(R87=0, -1, Q87/R87)</f>
        <v/>
      </c>
      <c r="U87">
        <f>IF(S87=0, -1, Q87/S87)</f>
        <v/>
      </c>
      <c r="V87">
        <f>IF(S87=0, -1, R87/S87)</f>
        <v/>
      </c>
    </row>
    <row r="88">
      <c r="A88" t="inlineStr">
        <is>
          <t>RC00522</t>
        </is>
      </c>
      <c r="B88" t="inlineStr">
        <is>
          <t>河南财经政法大学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 t="n">
        <v>2</v>
      </c>
      <c r="M88" t="n">
        <v>1006.195500357124</v>
      </c>
      <c r="N88" t="n">
        <v>18.69812704669219</v>
      </c>
      <c r="O88">
        <f>IF(N88=0, 0, M88/N88)</f>
        <v/>
      </c>
      <c r="P88">
        <f>RANK(O88, O$2:O$518, 0)</f>
        <v/>
      </c>
      <c r="Q88">
        <f>SUM(C88,F88)</f>
        <v/>
      </c>
      <c r="R88">
        <f>SUM(Q88,G88,H88,D88,E88)</f>
        <v/>
      </c>
      <c r="S88">
        <f>SUM(R88,I88,J88,K88,L88)</f>
        <v/>
      </c>
      <c r="T88">
        <f>IF(R88=0, -1, Q88/R88)</f>
        <v/>
      </c>
      <c r="U88">
        <f>IF(S88=0, -1, Q88/S88)</f>
        <v/>
      </c>
      <c r="V88">
        <f>IF(S88=0, -1, R88/S88)</f>
        <v/>
      </c>
    </row>
    <row r="89">
      <c r="A89" t="inlineStr">
        <is>
          <t>RC00487</t>
        </is>
      </c>
      <c r="B89" t="inlineStr">
        <is>
          <t>山东财经大学</t>
        </is>
      </c>
      <c r="C89" t="n">
        <v>0</v>
      </c>
      <c r="D89" t="n">
        <v>0</v>
      </c>
      <c r="E89" t="n">
        <v>0</v>
      </c>
      <c r="F89" t="n">
        <v>0</v>
      </c>
      <c r="G89" t="n">
        <v>1</v>
      </c>
      <c r="H89" t="n">
        <v>0</v>
      </c>
      <c r="I89" t="n">
        <v>2</v>
      </c>
      <c r="J89" t="n">
        <v>0</v>
      </c>
      <c r="K89" t="n">
        <v>1</v>
      </c>
      <c r="L89" t="n">
        <v>2</v>
      </c>
      <c r="M89" t="n">
        <v>4437.357364496317</v>
      </c>
      <c r="N89" t="n">
        <v>27.70977470670937</v>
      </c>
      <c r="O89">
        <f>IF(N89=0, 0, M89/N89)</f>
        <v/>
      </c>
      <c r="P89">
        <f>RANK(O89, O$2:O$518, 0)</f>
        <v/>
      </c>
      <c r="Q89">
        <f>SUM(C89,F89)</f>
        <v/>
      </c>
      <c r="R89">
        <f>SUM(Q89,G89,H89,D89,E89)</f>
        <v/>
      </c>
      <c r="S89">
        <f>SUM(R89,I89,J89,K89,L89)</f>
        <v/>
      </c>
      <c r="T89">
        <f>IF(R89=0, -1, Q89/R89)</f>
        <v/>
      </c>
      <c r="U89">
        <f>IF(S89=0, -1, Q89/S89)</f>
        <v/>
      </c>
      <c r="V89">
        <f>IF(S89=0, -1, R89/S89)</f>
        <v/>
      </c>
    </row>
    <row r="90">
      <c r="A90" t="inlineStr">
        <is>
          <t>RC00093</t>
        </is>
      </c>
      <c r="B90" t="inlineStr">
        <is>
          <t>青岛大学</t>
        </is>
      </c>
      <c r="C90" t="n">
        <v>0</v>
      </c>
      <c r="D90" t="n">
        <v>0</v>
      </c>
      <c r="E90" t="n">
        <v>1</v>
      </c>
      <c r="F90" t="n">
        <v>0</v>
      </c>
      <c r="G90" t="n">
        <v>0</v>
      </c>
      <c r="H90" t="n">
        <v>0</v>
      </c>
      <c r="I90" t="n">
        <v>0</v>
      </c>
      <c r="J90" t="n">
        <v>8</v>
      </c>
      <c r="K90" t="n">
        <v>9</v>
      </c>
      <c r="L90" t="n">
        <v>10</v>
      </c>
      <c r="M90" t="n">
        <v>10040.21353857791</v>
      </c>
      <c r="N90" t="n">
        <v>122.7406144726216</v>
      </c>
      <c r="O90">
        <f>IF(N90=0, 0, M90/N90)</f>
        <v/>
      </c>
      <c r="P90">
        <f>RANK(O90, O$2:O$518, 0)</f>
        <v/>
      </c>
      <c r="Q90">
        <f>SUM(C90,F90)</f>
        <v/>
      </c>
      <c r="R90">
        <f>SUM(Q90,G90,H90,D90,E90)</f>
        <v/>
      </c>
      <c r="S90">
        <f>SUM(R90,I90,J90,K90,L90)</f>
        <v/>
      </c>
      <c r="T90">
        <f>IF(R90=0, -1, Q90/R90)</f>
        <v/>
      </c>
      <c r="U90">
        <f>IF(S90=0, -1, Q90/S90)</f>
        <v/>
      </c>
      <c r="V90">
        <f>IF(S90=0, -1, R90/S90)</f>
        <v/>
      </c>
    </row>
    <row r="91">
      <c r="A91" t="inlineStr">
        <is>
          <t>RC00617</t>
        </is>
      </c>
      <c r="B91" t="inlineStr">
        <is>
          <t>广东外语外贸大学</t>
        </is>
      </c>
      <c r="C91" t="n">
        <v>0</v>
      </c>
      <c r="D91" t="n">
        <v>0</v>
      </c>
      <c r="E91" t="n">
        <v>0</v>
      </c>
      <c r="F91" t="n">
        <v>1</v>
      </c>
      <c r="G91" t="n">
        <v>0</v>
      </c>
      <c r="H91" t="n">
        <v>2</v>
      </c>
      <c r="I91" t="n">
        <v>1</v>
      </c>
      <c r="J91" t="n">
        <v>1</v>
      </c>
      <c r="K91" t="n">
        <v>4</v>
      </c>
      <c r="L91" t="n">
        <v>3</v>
      </c>
      <c r="M91" t="n">
        <v>8807.781021769901</v>
      </c>
      <c r="N91" t="n">
        <v>53.79326621015282</v>
      </c>
      <c r="O91">
        <f>IF(N91=0, 0, M91/N91)</f>
        <v/>
      </c>
      <c r="P91">
        <f>RANK(O91, O$2:O$518, 0)</f>
        <v/>
      </c>
      <c r="Q91">
        <f>SUM(C91,F91)</f>
        <v/>
      </c>
      <c r="R91">
        <f>SUM(Q91,G91,H91,D91,E91)</f>
        <v/>
      </c>
      <c r="S91">
        <f>SUM(R91,I91,J91,K91,L91)</f>
        <v/>
      </c>
      <c r="T91">
        <f>IF(R91=0, -1, Q91/R91)</f>
        <v/>
      </c>
      <c r="U91">
        <f>IF(S91=0, -1, Q91/S91)</f>
        <v/>
      </c>
      <c r="V91">
        <f>IF(S91=0, -1, R91/S91)</f>
        <v/>
      </c>
    </row>
    <row r="92">
      <c r="A92" t="inlineStr">
        <is>
          <t>RC00336</t>
        </is>
      </c>
      <c r="B92" t="inlineStr">
        <is>
          <t>上海对外经贸大学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1</v>
      </c>
      <c r="I92" t="n">
        <v>0</v>
      </c>
      <c r="J92" t="n">
        <v>0</v>
      </c>
      <c r="K92" t="n">
        <v>1</v>
      </c>
      <c r="L92" t="n">
        <v>3</v>
      </c>
      <c r="M92" t="n">
        <v>2048.305062604826</v>
      </c>
      <c r="N92" t="n">
        <v>23.67623914908287</v>
      </c>
      <c r="O92">
        <f>IF(N92=0, 0, M92/N92)</f>
        <v/>
      </c>
      <c r="P92">
        <f>RANK(O92, O$2:O$518, 0)</f>
        <v/>
      </c>
      <c r="Q92">
        <f>SUM(C92,F92)</f>
        <v/>
      </c>
      <c r="R92">
        <f>SUM(Q92,G92,H92,D92,E92)</f>
        <v/>
      </c>
      <c r="S92">
        <f>SUM(R92,I92,J92,K92,L92)</f>
        <v/>
      </c>
      <c r="T92">
        <f>IF(R92=0, -1, Q92/R92)</f>
        <v/>
      </c>
      <c r="U92">
        <f>IF(S92=0, -1, Q92/S92)</f>
        <v/>
      </c>
      <c r="V92">
        <f>IF(S92=0, -1, R92/S92)</f>
        <v/>
      </c>
    </row>
    <row r="93">
      <c r="A93" t="inlineStr">
        <is>
          <t>RC00127</t>
        </is>
      </c>
      <c r="B93" t="inlineStr">
        <is>
          <t>北京工商大学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2</v>
      </c>
      <c r="I93" t="n">
        <v>1</v>
      </c>
      <c r="J93" t="n">
        <v>1</v>
      </c>
      <c r="K93" t="n">
        <v>0</v>
      </c>
      <c r="L93" t="n">
        <v>1</v>
      </c>
      <c r="M93" t="n">
        <v>3697.70905827456</v>
      </c>
      <c r="N93" t="n">
        <v>22.97479316570823</v>
      </c>
      <c r="O93">
        <f>IF(N93=0, 0, M93/N93)</f>
        <v/>
      </c>
      <c r="P93">
        <f>RANK(O93, O$2:O$518, 0)</f>
        <v/>
      </c>
      <c r="Q93">
        <f>SUM(C93,F93)</f>
        <v/>
      </c>
      <c r="R93">
        <f>SUM(Q93,G93,H93,D93,E93)</f>
        <v/>
      </c>
      <c r="S93">
        <f>SUM(R93,I93,J93,K93,L93)</f>
        <v/>
      </c>
      <c r="T93">
        <f>IF(R93=0, -1, Q93/R93)</f>
        <v/>
      </c>
      <c r="U93">
        <f>IF(S93=0, -1, Q93/S93)</f>
        <v/>
      </c>
      <c r="V93">
        <f>IF(S93=0, -1, R93/S93)</f>
        <v/>
      </c>
    </row>
    <row r="94">
      <c r="A94" t="inlineStr">
        <is>
          <t>RC00655</t>
        </is>
      </c>
      <c r="B94" t="inlineStr">
        <is>
          <t>重庆工商大学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1</v>
      </c>
      <c r="I94" t="n">
        <v>0</v>
      </c>
      <c r="J94" t="n">
        <v>2</v>
      </c>
      <c r="K94" t="n">
        <v>1</v>
      </c>
      <c r="L94" t="n">
        <v>1</v>
      </c>
      <c r="M94" t="n">
        <v>2913.942802095524</v>
      </c>
      <c r="N94" t="n">
        <v>24.67950712683933</v>
      </c>
      <c r="O94">
        <f>IF(N94=0, 0, M94/N94)</f>
        <v/>
      </c>
      <c r="P94">
        <f>RANK(O94, O$2:O$518, 0)</f>
        <v/>
      </c>
      <c r="Q94">
        <f>SUM(C94,F94)</f>
        <v/>
      </c>
      <c r="R94">
        <f>SUM(Q94,G94,H94,D94,E94)</f>
        <v/>
      </c>
      <c r="S94">
        <f>SUM(R94,I94,J94,K94,L94)</f>
        <v/>
      </c>
      <c r="T94">
        <f>IF(R94=0, -1, Q94/R94)</f>
        <v/>
      </c>
      <c r="U94">
        <f>IF(S94=0, -1, Q94/S94)</f>
        <v/>
      </c>
      <c r="V94">
        <f>IF(S94=0, -1, R94/S94)</f>
        <v/>
      </c>
    </row>
    <row r="95">
      <c r="A95" t="inlineStr">
        <is>
          <t>RC00386</t>
        </is>
      </c>
      <c r="B95" t="inlineStr">
        <is>
          <t>浙江工商大学</t>
        </is>
      </c>
      <c r="C95" t="n">
        <v>0</v>
      </c>
      <c r="D95" t="n">
        <v>0</v>
      </c>
      <c r="E95" t="n">
        <v>0</v>
      </c>
      <c r="F95" t="n">
        <v>1</v>
      </c>
      <c r="G95" t="n">
        <v>2</v>
      </c>
      <c r="H95" t="n">
        <v>0</v>
      </c>
      <c r="I95" t="n">
        <v>4</v>
      </c>
      <c r="J95" t="n">
        <v>4</v>
      </c>
      <c r="K95" t="n">
        <v>3</v>
      </c>
      <c r="L95" t="n">
        <v>0</v>
      </c>
      <c r="M95" t="n">
        <v>13387.3006122149</v>
      </c>
      <c r="N95" t="n">
        <v>65.06831198875436</v>
      </c>
      <c r="O95">
        <f>IF(N95=0, 0, M95/N95)</f>
        <v/>
      </c>
      <c r="P95">
        <f>RANK(O95, O$2:O$518, 0)</f>
        <v/>
      </c>
      <c r="Q95">
        <f>SUM(C95,F95)</f>
        <v/>
      </c>
      <c r="R95">
        <f>SUM(Q95,G95,H95,D95,E95)</f>
        <v/>
      </c>
      <c r="S95">
        <f>SUM(R95,I95,J95,K95,L95)</f>
        <v/>
      </c>
      <c r="T95">
        <f>IF(R95=0, -1, Q95/R95)</f>
        <v/>
      </c>
      <c r="U95">
        <f>IF(S95=0, -1, Q95/S95)</f>
        <v/>
      </c>
      <c r="V95">
        <f>IF(S95=0, -1, R95/S95)</f>
        <v/>
      </c>
    </row>
    <row r="96">
      <c r="A96" t="inlineStr">
        <is>
          <t>RC00174</t>
        </is>
      </c>
      <c r="B96" t="inlineStr">
        <is>
          <t>天津财经大学</t>
        </is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1651.462408953192</v>
      </c>
      <c r="N96" t="n">
        <v>9.963406042747373</v>
      </c>
      <c r="O96">
        <f>IF(N96=0, 0, M96/N96)</f>
        <v/>
      </c>
      <c r="P96">
        <f>RANK(O96, O$2:O$518, 0)</f>
        <v/>
      </c>
      <c r="Q96">
        <f>SUM(C96,F96)</f>
        <v/>
      </c>
      <c r="R96">
        <f>SUM(Q96,G96,H96,D96,E96)</f>
        <v/>
      </c>
      <c r="S96">
        <f>SUM(R96,I96,J96,K96,L96)</f>
        <v/>
      </c>
      <c r="T96">
        <f>IF(R96=0, -1, Q96/R96)</f>
        <v/>
      </c>
      <c r="U96">
        <f>IF(S96=0, -1, Q96/S96)</f>
        <v/>
      </c>
      <c r="V96">
        <f>IF(S96=0, -1, R96/S96)</f>
        <v/>
      </c>
    </row>
    <row r="97">
      <c r="A97" t="inlineStr">
        <is>
          <t>RC00636</t>
        </is>
      </c>
      <c r="B97" t="inlineStr">
        <is>
          <t>广西财经学院</t>
        </is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611.4631466726046</v>
      </c>
      <c r="N97" t="n">
        <v>4.919980925828125</v>
      </c>
      <c r="O97">
        <f>IF(N97=0, 0, M97/N97)</f>
        <v/>
      </c>
      <c r="P97">
        <f>RANK(O97, O$2:O$518, 0)</f>
        <v/>
      </c>
      <c r="Q97">
        <f>SUM(C97,F97)</f>
        <v/>
      </c>
      <c r="R97">
        <f>SUM(Q97,G97,H97,D97,E97)</f>
        <v/>
      </c>
      <c r="S97">
        <f>SUM(R97,I97,J97,K97,L97)</f>
        <v/>
      </c>
      <c r="T97">
        <f>IF(R97=0, -1, Q97/R97)</f>
        <v/>
      </c>
      <c r="U97">
        <f>IF(S97=0, -1, Q97/S97)</f>
        <v/>
      </c>
      <c r="V97">
        <f>IF(S97=0, -1, R97/S97)</f>
        <v/>
      </c>
    </row>
    <row r="98">
      <c r="A98" t="inlineStr">
        <is>
          <t>RC00607</t>
        </is>
      </c>
      <c r="B98" t="inlineStr">
        <is>
          <t>广东财经大学</t>
        </is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1</v>
      </c>
      <c r="J98" t="n">
        <v>1</v>
      </c>
      <c r="K98" t="n">
        <v>1</v>
      </c>
      <c r="L98" t="n">
        <v>1</v>
      </c>
      <c r="M98" t="n">
        <v>1473.095487803944</v>
      </c>
      <c r="N98" t="n">
        <v>19.20165336797656</v>
      </c>
      <c r="O98">
        <f>IF(N98=0, 0, M98/N98)</f>
        <v/>
      </c>
      <c r="P98">
        <f>RANK(O98, O$2:O$518, 0)</f>
        <v/>
      </c>
      <c r="Q98">
        <f>SUM(C98,F98)</f>
        <v/>
      </c>
      <c r="R98">
        <f>SUM(Q98,G98,H98,D98,E98)</f>
        <v/>
      </c>
      <c r="S98">
        <f>SUM(R98,I98,J98,K98,L98)</f>
        <v/>
      </c>
      <c r="T98">
        <f>IF(R98=0, -1, Q98/R98)</f>
        <v/>
      </c>
      <c r="U98">
        <f>IF(S98=0, -1, Q98/S98)</f>
        <v/>
      </c>
      <c r="V98">
        <f>IF(S98=0, -1, R98/S98)</f>
        <v/>
      </c>
    </row>
    <row r="99">
      <c r="A99" t="inlineStr">
        <is>
          <t>RC00562</t>
        </is>
      </c>
      <c r="B99" t="inlineStr">
        <is>
          <t>湖北经济学院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604.3942085607827</v>
      </c>
      <c r="N99" t="n">
        <v>4.919980925828125</v>
      </c>
      <c r="O99">
        <f>IF(N99=0, 0, M99/N99)</f>
        <v/>
      </c>
      <c r="P99">
        <f>RANK(O99, O$2:O$518, 0)</f>
        <v/>
      </c>
      <c r="Q99">
        <f>SUM(C99,F99)</f>
        <v/>
      </c>
      <c r="R99">
        <f>SUM(Q99,G99,H99,D99,E99)</f>
        <v/>
      </c>
      <c r="S99">
        <f>SUM(R99,I99,J99,K99,L99)</f>
        <v/>
      </c>
      <c r="T99">
        <f>IF(R99=0, -1, Q99/R99)</f>
        <v/>
      </c>
      <c r="U99">
        <f>IF(S99=0, -1, Q99/S99)</f>
        <v/>
      </c>
      <c r="V99">
        <f>IF(S99=0, -1, R99/S99)</f>
        <v/>
      </c>
    </row>
    <row r="100">
      <c r="A100" t="inlineStr">
        <is>
          <t>RC00083</t>
        </is>
      </c>
      <c r="B100" t="inlineStr">
        <is>
          <t>浙江工业大学</t>
        </is>
      </c>
      <c r="C100" t="n">
        <v>0</v>
      </c>
      <c r="D100" t="n">
        <v>0</v>
      </c>
      <c r="E100" t="n">
        <v>0</v>
      </c>
      <c r="F100" t="n">
        <v>0</v>
      </c>
      <c r="G100" t="n">
        <v>1</v>
      </c>
      <c r="H100" t="n">
        <v>1</v>
      </c>
      <c r="I100" t="n">
        <v>6</v>
      </c>
      <c r="J100" t="n">
        <v>6</v>
      </c>
      <c r="K100" t="n">
        <v>7</v>
      </c>
      <c r="L100" t="n">
        <v>7</v>
      </c>
      <c r="M100" t="n">
        <v>13963.27901884926</v>
      </c>
      <c r="N100" t="n">
        <v>126.9181891578768</v>
      </c>
      <c r="O100">
        <f>IF(N100=0, 0, M100/N100)</f>
        <v/>
      </c>
      <c r="P100">
        <f>RANK(O100, O$2:O$518, 0)</f>
        <v/>
      </c>
      <c r="Q100">
        <f>SUM(C100,F100)</f>
        <v/>
      </c>
      <c r="R100">
        <f>SUM(Q100,G100,H100,D100,E100)</f>
        <v/>
      </c>
      <c r="S100">
        <f>SUM(R100,I100,J100,K100,L100)</f>
        <v/>
      </c>
      <c r="T100">
        <f>IF(R100=0, -1, Q100/R100)</f>
        <v/>
      </c>
      <c r="U100">
        <f>IF(S100=0, -1, Q100/S100)</f>
        <v/>
      </c>
      <c r="V100">
        <f>IF(S100=0, -1, R100/S100)</f>
        <v/>
      </c>
    </row>
    <row r="101">
      <c r="A101" t="inlineStr">
        <is>
          <t>RC00022</t>
        </is>
      </c>
      <c r="B101" t="inlineStr">
        <is>
          <t>华南理工大学</t>
        </is>
      </c>
      <c r="C101" t="n">
        <v>1</v>
      </c>
      <c r="D101" t="n">
        <v>0</v>
      </c>
      <c r="E101" t="n">
        <v>0</v>
      </c>
      <c r="F101" t="n">
        <v>0</v>
      </c>
      <c r="G101" t="n">
        <v>2</v>
      </c>
      <c r="H101" t="n">
        <v>12</v>
      </c>
      <c r="I101" t="n">
        <v>11</v>
      </c>
      <c r="J101" t="n">
        <v>5</v>
      </c>
      <c r="K101" t="n">
        <v>2</v>
      </c>
      <c r="L101" t="n">
        <v>1</v>
      </c>
      <c r="M101" t="n">
        <v>32480.22378153271</v>
      </c>
      <c r="N101" t="n">
        <v>148.8619561010998</v>
      </c>
      <c r="O101">
        <f>IF(N101=0, 0, M101/N101)</f>
        <v/>
      </c>
      <c r="P101">
        <f>RANK(O101, O$2:O$518, 0)</f>
        <v/>
      </c>
      <c r="Q101">
        <f>SUM(C101,F101)</f>
        <v/>
      </c>
      <c r="R101">
        <f>SUM(Q101,G101,H101,D101,E101)</f>
        <v/>
      </c>
      <c r="S101">
        <f>SUM(R101,I101,J101,K101,L101)</f>
        <v/>
      </c>
      <c r="T101">
        <f>IF(R101=0, -1, Q101/R101)</f>
        <v/>
      </c>
      <c r="U101">
        <f>IF(S101=0, -1, Q101/S101)</f>
        <v/>
      </c>
      <c r="V101">
        <f>IF(S101=0, -1, R101/S101)</f>
        <v/>
      </c>
    </row>
    <row r="102">
      <c r="A102" t="inlineStr">
        <is>
          <t>RC00024</t>
        </is>
      </c>
      <c r="B102" t="inlineStr">
        <is>
          <t>中国农业大学</t>
        </is>
      </c>
      <c r="C102" t="n">
        <v>7</v>
      </c>
      <c r="D102" t="n">
        <v>0</v>
      </c>
      <c r="E102" t="n">
        <v>0</v>
      </c>
      <c r="F102" t="n">
        <v>1</v>
      </c>
      <c r="G102" t="n">
        <v>2</v>
      </c>
      <c r="H102" t="n">
        <v>1</v>
      </c>
      <c r="I102" t="n">
        <v>5</v>
      </c>
      <c r="J102" t="n">
        <v>4</v>
      </c>
      <c r="K102" t="n">
        <v>3</v>
      </c>
      <c r="L102" t="n">
        <v>0</v>
      </c>
      <c r="M102" t="n">
        <v>37778.92683428407</v>
      </c>
      <c r="N102" t="n">
        <v>89.62588464784798</v>
      </c>
      <c r="O102">
        <f>IF(N102=0, 0, M102/N102)</f>
        <v/>
      </c>
      <c r="P102">
        <f>RANK(O102, O$2:O$518, 0)</f>
        <v/>
      </c>
      <c r="Q102">
        <f>SUM(C102,F102)</f>
        <v/>
      </c>
      <c r="R102">
        <f>SUM(Q102,G102,H102,D102,E102)</f>
        <v/>
      </c>
      <c r="S102">
        <f>SUM(R102,I102,J102,K102,L102)</f>
        <v/>
      </c>
      <c r="T102">
        <f>IF(R102=0, -1, Q102/R102)</f>
        <v/>
      </c>
      <c r="U102">
        <f>IF(S102=0, -1, Q102/S102)</f>
        <v/>
      </c>
      <c r="V102">
        <f>IF(S102=0, -1, R102/S102)</f>
        <v/>
      </c>
    </row>
    <row r="103">
      <c r="A103" t="inlineStr">
        <is>
          <t>RC00613</t>
        </is>
      </c>
      <c r="B103" t="inlineStr">
        <is>
          <t>广东金融学院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501.8946059393633</v>
      </c>
      <c r="N103" t="n">
        <v>4.919980925828125</v>
      </c>
      <c r="O103">
        <f>IF(N103=0, 0, M103/N103)</f>
        <v/>
      </c>
      <c r="P103">
        <f>RANK(O103, O$2:O$518, 0)</f>
        <v/>
      </c>
      <c r="Q103">
        <f>SUM(C103,F103)</f>
        <v/>
      </c>
      <c r="R103">
        <f>SUM(Q103,G103,H103,D103,E103)</f>
        <v/>
      </c>
      <c r="S103">
        <f>SUM(R103,I103,J103,K103,L103)</f>
        <v/>
      </c>
      <c r="T103">
        <f>IF(R103=0, -1, Q103/R103)</f>
        <v/>
      </c>
      <c r="U103">
        <f>IF(S103=0, -1, Q103/S103)</f>
        <v/>
      </c>
      <c r="V103">
        <f>IF(S103=0, -1, R103/S103)</f>
        <v/>
      </c>
    </row>
    <row r="104">
      <c r="A104" t="inlineStr">
        <is>
          <t>RC00123</t>
        </is>
      </c>
      <c r="B104" t="inlineStr">
        <is>
          <t>广西大学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2</v>
      </c>
      <c r="I104" t="n">
        <v>0</v>
      </c>
      <c r="J104" t="n">
        <v>9</v>
      </c>
      <c r="K104" t="n">
        <v>6</v>
      </c>
      <c r="L104" t="n">
        <v>7</v>
      </c>
      <c r="M104" t="n">
        <v>10179.09780150915</v>
      </c>
      <c r="N104" t="n">
        <v>104.3577637107998</v>
      </c>
      <c r="O104">
        <f>IF(N104=0, 0, M104/N104)</f>
        <v/>
      </c>
      <c r="P104">
        <f>RANK(O104, O$2:O$518, 0)</f>
        <v/>
      </c>
      <c r="Q104">
        <f>SUM(C104,F104)</f>
        <v/>
      </c>
      <c r="R104">
        <f>SUM(Q104,G104,H104,D104,E104)</f>
        <v/>
      </c>
      <c r="S104">
        <f>SUM(R104,I104,J104,K104,L104)</f>
        <v/>
      </c>
      <c r="T104">
        <f>IF(R104=0, -1, Q104/R104)</f>
        <v/>
      </c>
      <c r="U104">
        <f>IF(S104=0, -1, Q104/S104)</f>
        <v/>
      </c>
      <c r="V104">
        <f>IF(S104=0, -1, R104/S104)</f>
        <v/>
      </c>
    </row>
    <row r="105">
      <c r="A105" t="inlineStr">
        <is>
          <t>RC00567</t>
        </is>
      </c>
      <c r="B105" t="inlineStr">
        <is>
          <t>湖南科技大学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1</v>
      </c>
      <c r="J105" t="n">
        <v>2</v>
      </c>
      <c r="K105" t="n">
        <v>4</v>
      </c>
      <c r="L105" t="n">
        <v>2</v>
      </c>
      <c r="M105" t="n">
        <v>2892.577038730579</v>
      </c>
      <c r="N105" t="n">
        <v>41.32439474971693</v>
      </c>
      <c r="O105">
        <f>IF(N105=0, 0, M105/N105)</f>
        <v/>
      </c>
      <c r="P105">
        <f>RANK(O105, O$2:O$518, 0)</f>
        <v/>
      </c>
      <c r="Q105">
        <f>SUM(C105,F105)</f>
        <v/>
      </c>
      <c r="R105">
        <f>SUM(Q105,G105,H105,D105,E105)</f>
        <v/>
      </c>
      <c r="S105">
        <f>SUM(R105,I105,J105,K105,L105)</f>
        <v/>
      </c>
      <c r="T105">
        <f>IF(R105=0, -1, Q105/R105)</f>
        <v/>
      </c>
      <c r="U105">
        <f>IF(S105=0, -1, Q105/S105)</f>
        <v/>
      </c>
      <c r="V105">
        <f>IF(S105=0, -1, R105/S105)</f>
        <v/>
      </c>
    </row>
    <row r="106">
      <c r="A106" t="inlineStr">
        <is>
          <t>RC00106</t>
        </is>
      </c>
      <c r="B106" t="inlineStr">
        <is>
          <t>宁波大学</t>
        </is>
      </c>
      <c r="C106" t="n">
        <v>0</v>
      </c>
      <c r="D106" t="n">
        <v>1</v>
      </c>
      <c r="E106" t="n">
        <v>0</v>
      </c>
      <c r="F106" t="n">
        <v>0</v>
      </c>
      <c r="G106" t="n">
        <v>0</v>
      </c>
      <c r="H106" t="n">
        <v>2</v>
      </c>
      <c r="I106" t="n">
        <v>3</v>
      </c>
      <c r="J106" t="n">
        <v>8</v>
      </c>
      <c r="K106" t="n">
        <v>5</v>
      </c>
      <c r="L106" t="n">
        <v>5</v>
      </c>
      <c r="M106" t="n">
        <v>10984.59331979022</v>
      </c>
      <c r="N106" t="n">
        <v>106.7690635826189</v>
      </c>
      <c r="O106">
        <f>IF(N106=0, 0, M106/N106)</f>
        <v/>
      </c>
      <c r="P106">
        <f>RANK(O106, O$2:O$518, 0)</f>
        <v/>
      </c>
      <c r="Q106">
        <f>SUM(C106,F106)</f>
        <v/>
      </c>
      <c r="R106">
        <f>SUM(Q106,G106,H106,D106,E106)</f>
        <v/>
      </c>
      <c r="S106">
        <f>SUM(R106,I106,J106,K106,L106)</f>
        <v/>
      </c>
      <c r="T106">
        <f>IF(R106=0, -1, Q106/R106)</f>
        <v/>
      </c>
      <c r="U106">
        <f>IF(S106=0, -1, Q106/S106)</f>
        <v/>
      </c>
      <c r="V106">
        <f>IF(S106=0, -1, R106/S106)</f>
        <v/>
      </c>
    </row>
    <row r="107">
      <c r="A107" t="inlineStr">
        <is>
          <t>RC00054</t>
        </is>
      </c>
      <c r="B107" t="inlineStr">
        <is>
          <t>北京交通大学</t>
        </is>
      </c>
      <c r="C107" t="n">
        <v>1</v>
      </c>
      <c r="D107" t="n">
        <v>0</v>
      </c>
      <c r="E107" t="n">
        <v>0</v>
      </c>
      <c r="F107" t="n">
        <v>1</v>
      </c>
      <c r="G107" t="n">
        <v>1</v>
      </c>
      <c r="H107" t="n">
        <v>0</v>
      </c>
      <c r="I107" t="n">
        <v>6</v>
      </c>
      <c r="J107" t="n">
        <v>7</v>
      </c>
      <c r="K107" t="n">
        <v>4</v>
      </c>
      <c r="L107" t="n">
        <v>4</v>
      </c>
      <c r="M107" t="n">
        <v>19006.53950774152</v>
      </c>
      <c r="N107" t="n">
        <v>104.3524281289851</v>
      </c>
      <c r="O107">
        <f>IF(N107=0, 0, M107/N107)</f>
        <v/>
      </c>
      <c r="P107">
        <f>RANK(O107, O$2:O$518, 0)</f>
        <v/>
      </c>
      <c r="Q107">
        <f>SUM(C107,F107)</f>
        <v/>
      </c>
      <c r="R107">
        <f>SUM(Q107,G107,H107,D107,E107)</f>
        <v/>
      </c>
      <c r="S107">
        <f>SUM(R107,I107,J107,K107,L107)</f>
        <v/>
      </c>
      <c r="T107">
        <f>IF(R107=0, -1, Q107/R107)</f>
        <v/>
      </c>
      <c r="U107">
        <f>IF(S107=0, -1, Q107/S107)</f>
        <v/>
      </c>
      <c r="V107">
        <f>IF(S107=0, -1, R107/S107)</f>
        <v/>
      </c>
    </row>
    <row r="108">
      <c r="A108" t="inlineStr">
        <is>
          <t>RC00029</t>
        </is>
      </c>
      <c r="B108" t="inlineStr">
        <is>
          <t>南京农业大学</t>
        </is>
      </c>
      <c r="C108" t="n">
        <v>3</v>
      </c>
      <c r="D108" t="n">
        <v>0</v>
      </c>
      <c r="E108" t="n">
        <v>0</v>
      </c>
      <c r="F108" t="n">
        <v>0</v>
      </c>
      <c r="G108" t="n">
        <v>3</v>
      </c>
      <c r="H108" t="n">
        <v>4</v>
      </c>
      <c r="I108" t="n">
        <v>1</v>
      </c>
      <c r="J108" t="n">
        <v>5</v>
      </c>
      <c r="K108" t="n">
        <v>1</v>
      </c>
      <c r="L108" t="n">
        <v>1</v>
      </c>
      <c r="M108" t="n">
        <v>24529.28961728911</v>
      </c>
      <c r="N108" t="n">
        <v>64.37117357222718</v>
      </c>
      <c r="O108">
        <f>IF(N108=0, 0, M108/N108)</f>
        <v/>
      </c>
      <c r="P108">
        <f>RANK(O108, O$2:O$518, 0)</f>
        <v/>
      </c>
      <c r="Q108">
        <f>SUM(C108,F108)</f>
        <v/>
      </c>
      <c r="R108">
        <f>SUM(Q108,G108,H108,D108,E108)</f>
        <v/>
      </c>
      <c r="S108">
        <f>SUM(R108,I108,J108,K108,L108)</f>
        <v/>
      </c>
      <c r="T108">
        <f>IF(R108=0, -1, Q108/R108)</f>
        <v/>
      </c>
      <c r="U108">
        <f>IF(S108=0, -1, Q108/S108)</f>
        <v/>
      </c>
      <c r="V108">
        <f>IF(S108=0, -1, R108/S108)</f>
        <v/>
      </c>
    </row>
    <row r="109">
      <c r="A109" t="inlineStr">
        <is>
          <t>RC00239</t>
        </is>
      </c>
      <c r="B109" t="inlineStr">
        <is>
          <t>内蒙古财经大学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1</v>
      </c>
      <c r="K109" t="n">
        <v>0</v>
      </c>
      <c r="L109" t="n">
        <v>2</v>
      </c>
      <c r="M109" t="n">
        <v>846.3984410596051</v>
      </c>
      <c r="N109" t="n">
        <v>14.69079386145971</v>
      </c>
      <c r="O109">
        <f>IF(N109=0, 0, M109/N109)</f>
        <v/>
      </c>
      <c r="P109">
        <f>RANK(O109, O$2:O$518, 0)</f>
        <v/>
      </c>
      <c r="Q109">
        <f>SUM(C109,F109)</f>
        <v/>
      </c>
      <c r="R109">
        <f>SUM(Q109,G109,H109,D109,E109)</f>
        <v/>
      </c>
      <c r="S109">
        <f>SUM(R109,I109,J109,K109,L109)</f>
        <v/>
      </c>
      <c r="T109">
        <f>IF(R109=0, -1, Q109/R109)</f>
        <v/>
      </c>
      <c r="U109">
        <f>IF(S109=0, -1, Q109/S109)</f>
        <v/>
      </c>
      <c r="V109">
        <f>IF(S109=0, -1, R109/S109)</f>
        <v/>
      </c>
    </row>
    <row r="110">
      <c r="A110" t="inlineStr">
        <is>
          <t>RC00496</t>
        </is>
      </c>
      <c r="B110" t="inlineStr">
        <is>
          <t>山东工商学院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1</v>
      </c>
      <c r="J110" t="n">
        <v>1</v>
      </c>
      <c r="K110" t="n">
        <v>0</v>
      </c>
      <c r="L110" t="n">
        <v>1</v>
      </c>
      <c r="M110" t="n">
        <v>1232.611191566787</v>
      </c>
      <c r="N110" t="n">
        <v>14.96061831651149</v>
      </c>
      <c r="O110">
        <f>IF(N110=0, 0, M110/N110)</f>
        <v/>
      </c>
      <c r="P110">
        <f>RANK(O110, O$2:O$518, 0)</f>
        <v/>
      </c>
      <c r="Q110">
        <f>SUM(C110,F110)</f>
        <v/>
      </c>
      <c r="R110">
        <f>SUM(Q110,G110,H110,D110,E110)</f>
        <v/>
      </c>
      <c r="S110">
        <f>SUM(R110,I110,J110,K110,L110)</f>
        <v/>
      </c>
      <c r="T110">
        <f>IF(R110=0, -1, Q110/R110)</f>
        <v/>
      </c>
      <c r="U110">
        <f>IF(S110=0, -1, Q110/S110)</f>
        <v/>
      </c>
      <c r="V110">
        <f>IF(S110=0, -1, R110/S110)</f>
        <v/>
      </c>
    </row>
    <row r="111">
      <c r="A111" t="inlineStr">
        <is>
          <t>RC00780</t>
        </is>
      </c>
      <c r="B111" t="inlineStr">
        <is>
          <t>石河子大学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2</v>
      </c>
      <c r="J111" t="n">
        <v>1</v>
      </c>
      <c r="K111" t="n">
        <v>3</v>
      </c>
      <c r="L111" t="n">
        <v>3</v>
      </c>
      <c r="M111" t="n">
        <v>3330.111386548384</v>
      </c>
      <c r="N111" t="n">
        <v>37.62682722400494</v>
      </c>
      <c r="O111">
        <f>IF(N111=0, 0, M111/N111)</f>
        <v/>
      </c>
      <c r="P111">
        <f>RANK(O111, O$2:O$518, 0)</f>
        <v/>
      </c>
      <c r="Q111">
        <f>SUM(C111,F111)</f>
        <v/>
      </c>
      <c r="R111">
        <f>SUM(Q111,G111,H111,D111,E111)</f>
        <v/>
      </c>
      <c r="S111">
        <f>SUM(R111,I111,J111,K111,L111)</f>
        <v/>
      </c>
      <c r="T111">
        <f>IF(R111=0, -1, Q111/R111)</f>
        <v/>
      </c>
      <c r="U111">
        <f>IF(S111=0, -1, Q111/S111)</f>
        <v/>
      </c>
      <c r="V111">
        <f>IF(S111=0, -1, R111/S111)</f>
        <v/>
      </c>
    </row>
    <row r="112">
      <c r="A112" t="inlineStr">
        <is>
          <t>RC00027</t>
        </is>
      </c>
      <c r="B112" t="inlineStr">
        <is>
          <t>华东理工大学</t>
        </is>
      </c>
      <c r="C112" t="n">
        <v>1</v>
      </c>
      <c r="D112" t="n">
        <v>0</v>
      </c>
      <c r="E112" t="n">
        <v>0</v>
      </c>
      <c r="F112" t="n">
        <v>1</v>
      </c>
      <c r="G112" t="n">
        <v>1</v>
      </c>
      <c r="H112" t="n">
        <v>2</v>
      </c>
      <c r="I112" t="n">
        <v>2</v>
      </c>
      <c r="J112" t="n">
        <v>6</v>
      </c>
      <c r="K112" t="n">
        <v>6</v>
      </c>
      <c r="L112" t="n">
        <v>2</v>
      </c>
      <c r="M112" t="n">
        <v>17666.76952640469</v>
      </c>
      <c r="N112" t="n">
        <v>95.91142221717953</v>
      </c>
      <c r="O112">
        <f>IF(N112=0, 0, M112/N112)</f>
        <v/>
      </c>
      <c r="P112">
        <f>RANK(O112, O$2:O$518, 0)</f>
        <v/>
      </c>
      <c r="Q112">
        <f>SUM(C112,F112)</f>
        <v/>
      </c>
      <c r="R112">
        <f>SUM(Q112,G112,H112,D112,E112)</f>
        <v/>
      </c>
      <c r="S112">
        <f>SUM(R112,I112,J112,K112,L112)</f>
        <v/>
      </c>
      <c r="T112">
        <f>IF(R112=0, -1, Q112/R112)</f>
        <v/>
      </c>
      <c r="U112">
        <f>IF(S112=0, -1, Q112/S112)</f>
        <v/>
      </c>
      <c r="V112">
        <f>IF(S112=0, -1, R112/S112)</f>
        <v/>
      </c>
    </row>
    <row r="113">
      <c r="A113" t="inlineStr">
        <is>
          <t>RC00049</t>
        </is>
      </c>
      <c r="B113" t="inlineStr">
        <is>
          <t>中国地质大学（武汉）</t>
        </is>
      </c>
      <c r="C113" t="n">
        <v>2</v>
      </c>
      <c r="D113" t="n">
        <v>0</v>
      </c>
      <c r="E113" t="n">
        <v>0</v>
      </c>
      <c r="F113" t="n">
        <v>0</v>
      </c>
      <c r="G113" t="n">
        <v>0</v>
      </c>
      <c r="H113" t="n">
        <v>2</v>
      </c>
      <c r="I113" t="n">
        <v>4</v>
      </c>
      <c r="J113" t="n">
        <v>8</v>
      </c>
      <c r="K113" t="n">
        <v>7</v>
      </c>
      <c r="L113" t="n">
        <v>5</v>
      </c>
      <c r="M113" t="n">
        <v>17762.82153838472</v>
      </c>
      <c r="N113" t="n">
        <v>117.389042013873</v>
      </c>
      <c r="O113">
        <f>IF(N113=0, 0, M113/N113)</f>
        <v/>
      </c>
      <c r="P113">
        <f>RANK(O113, O$2:O$518, 0)</f>
        <v/>
      </c>
      <c r="Q113">
        <f>SUM(C113,F113)</f>
        <v/>
      </c>
      <c r="R113">
        <f>SUM(Q113,G113,H113,D113,E113)</f>
        <v/>
      </c>
      <c r="S113">
        <f>SUM(R113,I113,J113,K113,L113)</f>
        <v/>
      </c>
      <c r="T113">
        <f>IF(R113=0, -1, Q113/R113)</f>
        <v/>
      </c>
      <c r="U113">
        <f>IF(S113=0, -1, Q113/S113)</f>
        <v/>
      </c>
      <c r="V113">
        <f>IF(S113=0, -1, R113/S113)</f>
        <v/>
      </c>
    </row>
    <row r="114">
      <c r="A114" t="inlineStr">
        <is>
          <t>RC00785</t>
        </is>
      </c>
      <c r="B114" t="inlineStr">
        <is>
          <t>新疆财经大学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775.8463474217976</v>
      </c>
      <c r="N114" t="n">
        <v>9.963406042747373</v>
      </c>
      <c r="O114">
        <f>IF(N114=0, 0, M114/N114)</f>
        <v/>
      </c>
      <c r="P114">
        <f>RANK(O114, O$2:O$518, 0)</f>
        <v/>
      </c>
      <c r="Q114">
        <f>SUM(C114,F114)</f>
        <v/>
      </c>
      <c r="R114">
        <f>SUM(Q114,G114,H114,D114,E114)</f>
        <v/>
      </c>
      <c r="S114">
        <f>SUM(R114,I114,J114,K114,L114)</f>
        <v/>
      </c>
      <c r="T114">
        <f>IF(R114=0, -1, Q114/R114)</f>
        <v/>
      </c>
      <c r="U114">
        <f>IF(S114=0, -1, Q114/S114)</f>
        <v/>
      </c>
      <c r="V114">
        <f>IF(S114=0, -1, R114/S114)</f>
        <v/>
      </c>
    </row>
    <row r="115">
      <c r="A115" t="inlineStr">
        <is>
          <t>RC00051</t>
        </is>
      </c>
      <c r="B115" t="inlineStr">
        <is>
          <t>华中农业大学</t>
        </is>
      </c>
      <c r="C115" t="n">
        <v>4</v>
      </c>
      <c r="D115" t="n">
        <v>1</v>
      </c>
      <c r="E115" t="n">
        <v>0</v>
      </c>
      <c r="F115" t="n">
        <v>0</v>
      </c>
      <c r="G115" t="n">
        <v>1</v>
      </c>
      <c r="H115" t="n">
        <v>4</v>
      </c>
      <c r="I115" t="n">
        <v>3</v>
      </c>
      <c r="J115" t="n">
        <v>3</v>
      </c>
      <c r="K115" t="n">
        <v>4</v>
      </c>
      <c r="L115" t="n">
        <v>1</v>
      </c>
      <c r="M115" t="n">
        <v>24602.57251182838</v>
      </c>
      <c r="N115" t="n">
        <v>82.71158332547182</v>
      </c>
      <c r="O115">
        <f>IF(N115=0, 0, M115/N115)</f>
        <v/>
      </c>
      <c r="P115">
        <f>RANK(O115, O$2:O$518, 0)</f>
        <v/>
      </c>
      <c r="Q115">
        <f>SUM(C115,F115)</f>
        <v/>
      </c>
      <c r="R115">
        <f>SUM(Q115,G115,H115,D115,E115)</f>
        <v/>
      </c>
      <c r="S115">
        <f>SUM(R115,I115,J115,K115,L115)</f>
        <v/>
      </c>
      <c r="T115">
        <f>IF(R115=0, -1, Q115/R115)</f>
        <v/>
      </c>
      <c r="U115">
        <f>IF(S115=0, -1, Q115/S115)</f>
        <v/>
      </c>
      <c r="V115">
        <f>IF(S115=0, -1, R115/S115)</f>
        <v/>
      </c>
    </row>
    <row r="116">
      <c r="A116" t="inlineStr">
        <is>
          <t>RC00654</t>
        </is>
      </c>
      <c r="B116" t="inlineStr">
        <is>
          <t>重庆理工大学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2</v>
      </c>
      <c r="K116" t="n">
        <v>0</v>
      </c>
      <c r="L116" t="n">
        <v>3</v>
      </c>
      <c r="M116" t="n">
        <v>1309.838188515673</v>
      </c>
      <c r="N116" t="n">
        <v>22.93308433248605</v>
      </c>
      <c r="O116">
        <f>IF(N116=0, 0, M116/N116)</f>
        <v/>
      </c>
      <c r="P116">
        <f>RANK(O116, O$2:O$518, 0)</f>
        <v/>
      </c>
      <c r="Q116">
        <f>SUM(C116,F116)</f>
        <v/>
      </c>
      <c r="R116">
        <f>SUM(Q116,G116,H116,D116,E116)</f>
        <v/>
      </c>
      <c r="S116">
        <f>SUM(R116,I116,J116,K116,L116)</f>
        <v/>
      </c>
      <c r="T116">
        <f>IF(R116=0, -1, Q116/R116)</f>
        <v/>
      </c>
      <c r="U116">
        <f>IF(S116=0, -1, Q116/S116)</f>
        <v/>
      </c>
      <c r="V116">
        <f>IF(S116=0, -1, R116/S116)</f>
        <v/>
      </c>
    </row>
    <row r="117">
      <c r="A117" t="inlineStr">
        <is>
          <t>RC00058</t>
        </is>
      </c>
      <c r="B117" t="inlineStr">
        <is>
          <t>中国海洋大学</t>
        </is>
      </c>
      <c r="C117" t="n">
        <v>2</v>
      </c>
      <c r="D117" t="n">
        <v>0</v>
      </c>
      <c r="E117" t="n">
        <v>0</v>
      </c>
      <c r="F117" t="n">
        <v>0</v>
      </c>
      <c r="G117" t="n">
        <v>2</v>
      </c>
      <c r="H117" t="n">
        <v>0</v>
      </c>
      <c r="I117" t="n">
        <v>4</v>
      </c>
      <c r="J117" t="n">
        <v>5</v>
      </c>
      <c r="K117" t="n">
        <v>5</v>
      </c>
      <c r="L117" t="n">
        <v>6</v>
      </c>
      <c r="M117" t="n">
        <v>16742.0943922893</v>
      </c>
      <c r="N117" t="n">
        <v>101.2222839894099</v>
      </c>
      <c r="O117">
        <f>IF(N117=0, 0, M117/N117)</f>
        <v/>
      </c>
      <c r="P117">
        <f>RANK(O117, O$2:O$518, 0)</f>
        <v/>
      </c>
      <c r="Q117">
        <f>SUM(C117,F117)</f>
        <v/>
      </c>
      <c r="R117">
        <f>SUM(Q117,G117,H117,D117,E117)</f>
        <v/>
      </c>
      <c r="S117">
        <f>SUM(R117,I117,J117,K117,L117)</f>
        <v/>
      </c>
      <c r="T117">
        <f>IF(R117=0, -1, Q117/R117)</f>
        <v/>
      </c>
      <c r="U117">
        <f>IF(S117=0, -1, Q117/S117)</f>
        <v/>
      </c>
      <c r="V117">
        <f>IF(S117=0, -1, R117/S117)</f>
        <v/>
      </c>
    </row>
    <row r="118">
      <c r="A118" t="inlineStr">
        <is>
          <t>RC00013</t>
        </is>
      </c>
      <c r="B118" t="inlineStr">
        <is>
          <t>北京航空航天大学</t>
        </is>
      </c>
      <c r="C118" t="n">
        <v>1</v>
      </c>
      <c r="D118" t="n">
        <v>0</v>
      </c>
      <c r="E118" t="n">
        <v>0</v>
      </c>
      <c r="F118" t="n">
        <v>4</v>
      </c>
      <c r="G118" t="n">
        <v>9</v>
      </c>
      <c r="H118" t="n">
        <v>5</v>
      </c>
      <c r="I118" t="n">
        <v>4</v>
      </c>
      <c r="J118" t="n">
        <v>1</v>
      </c>
      <c r="K118" t="n">
        <v>5</v>
      </c>
      <c r="L118" t="n">
        <v>1</v>
      </c>
      <c r="M118" t="n">
        <v>52408.88841054735</v>
      </c>
      <c r="N118" t="n">
        <v>129.7721478987072</v>
      </c>
      <c r="O118">
        <f>IF(N118=0, 0, M118/N118)</f>
        <v/>
      </c>
      <c r="P118">
        <f>RANK(O118, O$2:O$518, 0)</f>
        <v/>
      </c>
      <c r="Q118">
        <f>SUM(C118,F118)</f>
        <v/>
      </c>
      <c r="R118">
        <f>SUM(Q118,G118,H118,D118,E118)</f>
        <v/>
      </c>
      <c r="S118">
        <f>SUM(R118,I118,J118,K118,L118)</f>
        <v/>
      </c>
      <c r="T118">
        <f>IF(R118=0, -1, Q118/R118)</f>
        <v/>
      </c>
      <c r="U118">
        <f>IF(S118=0, -1, Q118/S118)</f>
        <v/>
      </c>
      <c r="V118">
        <f>IF(S118=0, -1, R118/S118)</f>
        <v/>
      </c>
    </row>
    <row r="119">
      <c r="A119" t="inlineStr">
        <is>
          <t>RC00580</t>
        </is>
      </c>
      <c r="B119" t="inlineStr">
        <is>
          <t>湖南工商大学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</v>
      </c>
      <c r="I119" t="n">
        <v>0</v>
      </c>
      <c r="J119" t="n">
        <v>0</v>
      </c>
      <c r="K119" t="n">
        <v>4</v>
      </c>
      <c r="L119" t="n">
        <v>1</v>
      </c>
      <c r="M119" t="n">
        <v>2575.128221065781</v>
      </c>
      <c r="N119" t="n">
        <v>29.11921287309988</v>
      </c>
      <c r="O119">
        <f>IF(N119=0, 0, M119/N119)</f>
        <v/>
      </c>
      <c r="P119">
        <f>RANK(O119, O$2:O$518, 0)</f>
        <v/>
      </c>
      <c r="Q119">
        <f>SUM(C119,F119)</f>
        <v/>
      </c>
      <c r="R119">
        <f>SUM(Q119,G119,H119,D119,E119)</f>
        <v/>
      </c>
      <c r="S119">
        <f>SUM(R119,I119,J119,K119,L119)</f>
        <v/>
      </c>
      <c r="T119">
        <f>IF(R119=0, -1, Q119/R119)</f>
        <v/>
      </c>
      <c r="U119">
        <f>IF(S119=0, -1, Q119/S119)</f>
        <v/>
      </c>
      <c r="V119">
        <f>IF(S119=0, -1, R119/S119)</f>
        <v/>
      </c>
    </row>
    <row r="120">
      <c r="A120" t="inlineStr">
        <is>
          <t>RC00710</t>
        </is>
      </c>
      <c r="B120" t="inlineStr">
        <is>
          <t>云南师范大学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3</v>
      </c>
      <c r="J120" t="n">
        <v>0</v>
      </c>
      <c r="K120" t="n">
        <v>7</v>
      </c>
      <c r="L120" t="n">
        <v>6</v>
      </c>
      <c r="M120" t="n">
        <v>4884.416155727808</v>
      </c>
      <c r="N120" t="n">
        <v>71.34140720023279</v>
      </c>
      <c r="O120">
        <f>IF(N120=0, 0, M120/N120)</f>
        <v/>
      </c>
      <c r="P120">
        <f>RANK(O120, O$2:O$518, 0)</f>
        <v/>
      </c>
      <c r="Q120">
        <f>SUM(C120,F120)</f>
        <v/>
      </c>
      <c r="R120">
        <f>SUM(Q120,G120,H120,D120,E120)</f>
        <v/>
      </c>
      <c r="S120">
        <f>SUM(R120,I120,J120,K120,L120)</f>
        <v/>
      </c>
      <c r="T120">
        <f>IF(R120=0, -1, Q120/R120)</f>
        <v/>
      </c>
      <c r="U120">
        <f>IF(S120=0, -1, Q120/S120)</f>
        <v/>
      </c>
      <c r="V120">
        <f>IF(S120=0, -1, R120/S120)</f>
        <v/>
      </c>
    </row>
    <row r="121">
      <c r="A121" t="inlineStr">
        <is>
          <t>RC00055</t>
        </is>
      </c>
      <c r="B121" t="inlineStr">
        <is>
          <t>北京工业大学</t>
        </is>
      </c>
      <c r="C121" t="n">
        <v>0</v>
      </c>
      <c r="D121" t="n">
        <v>0</v>
      </c>
      <c r="E121" t="n">
        <v>0</v>
      </c>
      <c r="F121" t="n">
        <v>0</v>
      </c>
      <c r="G121" t="n">
        <v>1</v>
      </c>
      <c r="H121" t="n">
        <v>1</v>
      </c>
      <c r="I121" t="n">
        <v>5</v>
      </c>
      <c r="J121" t="n">
        <v>10</v>
      </c>
      <c r="K121" t="n">
        <v>8</v>
      </c>
      <c r="L121" t="n">
        <v>4</v>
      </c>
      <c r="M121" t="n">
        <v>14424.87593188188</v>
      </c>
      <c r="N121" t="n">
        <v>127.9514556685249</v>
      </c>
      <c r="O121">
        <f>IF(N121=0, 0, M121/N121)</f>
        <v/>
      </c>
      <c r="P121">
        <f>RANK(O121, O$2:O$518, 0)</f>
        <v/>
      </c>
      <c r="Q121">
        <f>SUM(C121,F121)</f>
        <v/>
      </c>
      <c r="R121">
        <f>SUM(Q121,G121,H121,D121,E121)</f>
        <v/>
      </c>
      <c r="S121">
        <f>SUM(R121,I121,J121,K121,L121)</f>
        <v/>
      </c>
      <c r="T121">
        <f>IF(R121=0, -1, Q121/R121)</f>
        <v/>
      </c>
      <c r="U121">
        <f>IF(S121=0, -1, Q121/S121)</f>
        <v/>
      </c>
      <c r="V121">
        <f>IF(S121=0, -1, R121/S121)</f>
        <v/>
      </c>
    </row>
    <row r="122">
      <c r="A122" t="inlineStr">
        <is>
          <t>RC00444</t>
        </is>
      </c>
      <c r="B122" t="inlineStr">
        <is>
          <t>江西理工大学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 t="n">
        <v>3</v>
      </c>
      <c r="M122" t="n">
        <v>1509.418740277778</v>
      </c>
      <c r="N122" t="n">
        <v>19.82329355200822</v>
      </c>
      <c r="O122">
        <f>IF(N122=0, 0, M122/N122)</f>
        <v/>
      </c>
      <c r="P122">
        <f>RANK(O122, O$2:O$518, 0)</f>
        <v/>
      </c>
      <c r="Q122">
        <f>SUM(C122,F122)</f>
        <v/>
      </c>
      <c r="R122">
        <f>SUM(Q122,G122,H122,D122,E122)</f>
        <v/>
      </c>
      <c r="S122">
        <f>SUM(R122,I122,J122,K122,L122)</f>
        <v/>
      </c>
      <c r="T122">
        <f>IF(R122=0, -1, Q122/R122)</f>
        <v/>
      </c>
      <c r="U122">
        <f>IF(S122=0, -1, Q122/S122)</f>
        <v/>
      </c>
      <c r="V122">
        <f>IF(S122=0, -1, R122/S122)</f>
        <v/>
      </c>
    </row>
    <row r="123">
      <c r="A123" t="inlineStr">
        <is>
          <t>RC00046</t>
        </is>
      </c>
      <c r="B123" t="inlineStr">
        <is>
          <t>江苏大学</t>
        </is>
      </c>
      <c r="C123" t="n">
        <v>0</v>
      </c>
      <c r="D123" t="n">
        <v>1</v>
      </c>
      <c r="E123" t="n">
        <v>0</v>
      </c>
      <c r="F123" t="n">
        <v>0</v>
      </c>
      <c r="G123" t="n">
        <v>0</v>
      </c>
      <c r="H123" t="n">
        <v>1</v>
      </c>
      <c r="I123" t="n">
        <v>4</v>
      </c>
      <c r="J123" t="n">
        <v>4</v>
      </c>
      <c r="K123" t="n">
        <v>7</v>
      </c>
      <c r="L123" t="n">
        <v>3</v>
      </c>
      <c r="M123" t="n">
        <v>10248.12901698414</v>
      </c>
      <c r="N123" t="n">
        <v>89.02437484252988</v>
      </c>
      <c r="O123">
        <f>IF(N123=0, 0, M123/N123)</f>
        <v/>
      </c>
      <c r="P123">
        <f>RANK(O123, O$2:O$518, 0)</f>
        <v/>
      </c>
      <c r="Q123">
        <f>SUM(C123,F123)</f>
        <v/>
      </c>
      <c r="R123">
        <f>SUM(Q123,G123,H123,D123,E123)</f>
        <v/>
      </c>
      <c r="S123">
        <f>SUM(R123,I123,J123,K123,L123)</f>
        <v/>
      </c>
      <c r="T123">
        <f>IF(R123=0, -1, Q123/R123)</f>
        <v/>
      </c>
      <c r="U123">
        <f>IF(S123=0, -1, Q123/S123)</f>
        <v/>
      </c>
      <c r="V123">
        <f>IF(S123=0, -1, R123/S123)</f>
        <v/>
      </c>
    </row>
    <row r="124">
      <c r="A124" t="inlineStr">
        <is>
          <t>RC00073</t>
        </is>
      </c>
      <c r="B124" t="inlineStr">
        <is>
          <t>中国矿业大学</t>
        </is>
      </c>
      <c r="C124" t="n">
        <v>3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6</v>
      </c>
      <c r="J124" t="n">
        <v>4</v>
      </c>
      <c r="K124" t="n">
        <v>7</v>
      </c>
      <c r="L124" t="n">
        <v>3</v>
      </c>
      <c r="M124" t="n">
        <v>16224.45403353596</v>
      </c>
      <c r="N124" t="n">
        <v>99.14216015976561</v>
      </c>
      <c r="O124">
        <f>IF(N124=0, 0, M124/N124)</f>
        <v/>
      </c>
      <c r="P124">
        <f>RANK(O124, O$2:O$518, 0)</f>
        <v/>
      </c>
      <c r="Q124">
        <f>SUM(C124,F124)</f>
        <v/>
      </c>
      <c r="R124">
        <f>SUM(Q124,G124,H124,D124,E124)</f>
        <v/>
      </c>
      <c r="S124">
        <f>SUM(R124,I124,J124,K124,L124)</f>
        <v/>
      </c>
      <c r="T124">
        <f>IF(R124=0, -1, Q124/R124)</f>
        <v/>
      </c>
      <c r="U124">
        <f>IF(S124=0, -1, Q124/S124)</f>
        <v/>
      </c>
      <c r="V124">
        <f>IF(S124=0, -1, R124/S124)</f>
        <v/>
      </c>
    </row>
    <row r="125">
      <c r="A125" t="inlineStr">
        <is>
          <t>RC00032</t>
        </is>
      </c>
      <c r="B125" t="inlineStr">
        <is>
          <t>武汉理工大学</t>
        </is>
      </c>
      <c r="C125" t="n">
        <v>0</v>
      </c>
      <c r="D125" t="n">
        <v>0</v>
      </c>
      <c r="E125" t="n">
        <v>0</v>
      </c>
      <c r="F125" t="n">
        <v>1</v>
      </c>
      <c r="G125" t="n">
        <v>0</v>
      </c>
      <c r="H125" t="n">
        <v>1</v>
      </c>
      <c r="I125" t="n">
        <v>5</v>
      </c>
      <c r="J125" t="n">
        <v>7</v>
      </c>
      <c r="K125" t="n">
        <v>7</v>
      </c>
      <c r="L125" t="n">
        <v>8</v>
      </c>
      <c r="M125" t="n">
        <v>15767.29545688125</v>
      </c>
      <c r="N125" t="n">
        <v>127.3789214431289</v>
      </c>
      <c r="O125">
        <f>IF(N125=0, 0, M125/N125)</f>
        <v/>
      </c>
      <c r="P125">
        <f>RANK(O125, O$2:O$518, 0)</f>
        <v/>
      </c>
      <c r="Q125">
        <f>SUM(C125,F125)</f>
        <v/>
      </c>
      <c r="R125">
        <f>SUM(Q125,G125,H125,D125,E125)</f>
        <v/>
      </c>
      <c r="S125">
        <f>SUM(R125,I125,J125,K125,L125)</f>
        <v/>
      </c>
      <c r="T125">
        <f>IF(R125=0, -1, Q125/R125)</f>
        <v/>
      </c>
      <c r="U125">
        <f>IF(S125=0, -1, Q125/S125)</f>
        <v/>
      </c>
      <c r="V125">
        <f>IF(S125=0, -1, R125/S125)</f>
        <v/>
      </c>
    </row>
    <row r="126">
      <c r="A126" t="inlineStr">
        <is>
          <t>RC00253</t>
        </is>
      </c>
      <c r="B126" t="inlineStr">
        <is>
          <t>大连海事大学</t>
        </is>
      </c>
      <c r="C126" t="n">
        <v>0</v>
      </c>
      <c r="D126" t="n">
        <v>1</v>
      </c>
      <c r="E126" t="n">
        <v>0</v>
      </c>
      <c r="F126" t="n">
        <v>0</v>
      </c>
      <c r="G126" t="n">
        <v>0</v>
      </c>
      <c r="H126" t="n">
        <v>0</v>
      </c>
      <c r="I126" t="n">
        <v>3</v>
      </c>
      <c r="J126" t="n">
        <v>3</v>
      </c>
      <c r="K126" t="n">
        <v>3</v>
      </c>
      <c r="L126" t="n">
        <v>5</v>
      </c>
      <c r="M126" t="n">
        <v>6553.20480816512</v>
      </c>
      <c r="N126" t="n">
        <v>67.63353754565047</v>
      </c>
      <c r="O126">
        <f>IF(N126=0, 0, M126/N126)</f>
        <v/>
      </c>
      <c r="P126">
        <f>RANK(O126, O$2:O$518, 0)</f>
        <v/>
      </c>
      <c r="Q126">
        <f>SUM(C126,F126)</f>
        <v/>
      </c>
      <c r="R126">
        <f>SUM(Q126,G126,H126,D126,E126)</f>
        <v/>
      </c>
      <c r="S126">
        <f>SUM(R126,I126,J126,K126,L126)</f>
        <v/>
      </c>
      <c r="T126">
        <f>IF(R126=0, -1, Q126/R126)</f>
        <v/>
      </c>
      <c r="U126">
        <f>IF(S126=0, -1, Q126/S126)</f>
        <v/>
      </c>
      <c r="V126">
        <f>IF(S126=0, -1, R126/S126)</f>
        <v/>
      </c>
    </row>
    <row r="127">
      <c r="A127" t="inlineStr">
        <is>
          <t>RC00295</t>
        </is>
      </c>
      <c r="B127" t="inlineStr">
        <is>
          <t>吉林财经大学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783.0285957972976</v>
      </c>
      <c r="N127" t="n">
        <v>9.109635667854551</v>
      </c>
      <c r="O127">
        <f>IF(N127=0, 0, M127/N127)</f>
        <v/>
      </c>
      <c r="P127">
        <f>RANK(O127, O$2:O$518, 0)</f>
        <v/>
      </c>
      <c r="Q127">
        <f>SUM(C127,F127)</f>
        <v/>
      </c>
      <c r="R127">
        <f>SUM(Q127,G127,H127,D127,E127)</f>
        <v/>
      </c>
      <c r="S127">
        <f>SUM(R127,I127,J127,K127,L127)</f>
        <v/>
      </c>
      <c r="T127">
        <f>IF(R127=0, -1, Q127/R127)</f>
        <v/>
      </c>
      <c r="U127">
        <f>IF(S127=0, -1, Q127/S127)</f>
        <v/>
      </c>
      <c r="V127">
        <f>IF(S127=0, -1, R127/S127)</f>
        <v/>
      </c>
    </row>
    <row r="128">
      <c r="A128" t="inlineStr">
        <is>
          <t>RC00078</t>
        </is>
      </c>
      <c r="B128" t="inlineStr">
        <is>
          <t>福州大学</t>
        </is>
      </c>
      <c r="C128" t="n">
        <v>0</v>
      </c>
      <c r="D128" t="n">
        <v>0</v>
      </c>
      <c r="E128" t="n">
        <v>0</v>
      </c>
      <c r="F128" t="n">
        <v>0</v>
      </c>
      <c r="G128" t="n">
        <v>1</v>
      </c>
      <c r="H128" t="n">
        <v>1</v>
      </c>
      <c r="I128" t="n">
        <v>1</v>
      </c>
      <c r="J128" t="n">
        <v>12</v>
      </c>
      <c r="K128" t="n">
        <v>7</v>
      </c>
      <c r="L128" t="n">
        <v>1</v>
      </c>
      <c r="M128" t="n">
        <v>11563.02782793624</v>
      </c>
      <c r="N128" t="n">
        <v>104.0779757959463</v>
      </c>
      <c r="O128">
        <f>IF(N128=0, 0, M128/N128)</f>
        <v/>
      </c>
      <c r="P128">
        <f>RANK(O128, O$2:O$518, 0)</f>
        <v/>
      </c>
      <c r="Q128">
        <f>SUM(C128,F128)</f>
        <v/>
      </c>
      <c r="R128">
        <f>SUM(Q128,G128,H128,D128,E128)</f>
        <v/>
      </c>
      <c r="S128">
        <f>SUM(R128,I128,J128,K128,L128)</f>
        <v/>
      </c>
      <c r="T128">
        <f>IF(R128=0, -1, Q128/R128)</f>
        <v/>
      </c>
      <c r="U128">
        <f>IF(S128=0, -1, Q128/S128)</f>
        <v/>
      </c>
      <c r="V128">
        <f>IF(S128=0, -1, R128/S128)</f>
        <v/>
      </c>
    </row>
    <row r="129">
      <c r="A129" t="inlineStr">
        <is>
          <t>RC00117</t>
        </is>
      </c>
      <c r="B129" t="inlineStr">
        <is>
          <t>南京邮电大学</t>
        </is>
      </c>
      <c r="C129" t="n">
        <v>0</v>
      </c>
      <c r="D129" t="n">
        <v>0</v>
      </c>
      <c r="E129" t="n">
        <v>0</v>
      </c>
      <c r="F129" t="n">
        <v>0</v>
      </c>
      <c r="G129" t="n">
        <v>1</v>
      </c>
      <c r="H129" t="n">
        <v>0</v>
      </c>
      <c r="I129" t="n">
        <v>3</v>
      </c>
      <c r="J129" t="n">
        <v>6</v>
      </c>
      <c r="K129" t="n">
        <v>8</v>
      </c>
      <c r="L129" t="n">
        <v>1</v>
      </c>
      <c r="M129" t="n">
        <v>10379.45243989883</v>
      </c>
      <c r="N129" t="n">
        <v>85.75105713509218</v>
      </c>
      <c r="O129">
        <f>IF(N129=0, 0, M129/N129)</f>
        <v/>
      </c>
      <c r="P129">
        <f>RANK(O129, O$2:O$518, 0)</f>
        <v/>
      </c>
      <c r="Q129">
        <f>SUM(C129,F129)</f>
        <v/>
      </c>
      <c r="R129">
        <f>SUM(Q129,G129,H129,D129,E129)</f>
        <v/>
      </c>
      <c r="S129">
        <f>SUM(R129,I129,J129,K129,L129)</f>
        <v/>
      </c>
      <c r="T129">
        <f>IF(R129=0, -1, Q129/R129)</f>
        <v/>
      </c>
      <c r="U129">
        <f>IF(S129=0, -1, Q129/S129)</f>
        <v/>
      </c>
      <c r="V129">
        <f>IF(S129=0, -1, R129/S129)</f>
        <v/>
      </c>
    </row>
    <row r="130">
      <c r="A130" t="inlineStr">
        <is>
          <t>RC00015</t>
        </is>
      </c>
      <c r="B130" t="inlineStr">
        <is>
          <t>天津大学</t>
        </is>
      </c>
      <c r="C130" t="n">
        <v>0</v>
      </c>
      <c r="D130" t="n">
        <v>0</v>
      </c>
      <c r="E130" t="n">
        <v>0</v>
      </c>
      <c r="F130" t="n">
        <v>3</v>
      </c>
      <c r="G130" t="n">
        <v>8</v>
      </c>
      <c r="H130" t="n">
        <v>5</v>
      </c>
      <c r="I130" t="n">
        <v>10</v>
      </c>
      <c r="J130" t="n">
        <v>7</v>
      </c>
      <c r="K130" t="n">
        <v>2</v>
      </c>
      <c r="L130" t="n">
        <v>2</v>
      </c>
      <c r="M130" t="n">
        <v>48373.71792905732</v>
      </c>
      <c r="N130" t="n">
        <v>159.1148861661547</v>
      </c>
      <c r="O130">
        <f>IF(N130=0, 0, M130/N130)</f>
        <v/>
      </c>
      <c r="P130">
        <f>RANK(O130, O$2:O$518, 0)</f>
        <v/>
      </c>
      <c r="Q130">
        <f>SUM(C130,F130)</f>
        <v/>
      </c>
      <c r="R130">
        <f>SUM(Q130,G130,H130,D130,E130)</f>
        <v/>
      </c>
      <c r="S130">
        <f>SUM(R130,I130,J130,K130,L130)</f>
        <v/>
      </c>
      <c r="T130">
        <f>IF(R130=0, -1, Q130/R130)</f>
        <v/>
      </c>
      <c r="U130">
        <f>IF(S130=0, -1, Q130/S130)</f>
        <v/>
      </c>
      <c r="V130">
        <f>IF(S130=0, -1, R130/S130)</f>
        <v/>
      </c>
    </row>
    <row r="131">
      <c r="A131" t="inlineStr">
        <is>
          <t>RC00124</t>
        </is>
      </c>
      <c r="B131" t="inlineStr">
        <is>
          <t>四川农业大学</t>
        </is>
      </c>
      <c r="C131" t="n">
        <v>0</v>
      </c>
      <c r="D131" t="n">
        <v>0</v>
      </c>
      <c r="E131" t="n">
        <v>0</v>
      </c>
      <c r="F131" t="n">
        <v>0</v>
      </c>
      <c r="G131" t="n">
        <v>1</v>
      </c>
      <c r="H131" t="n">
        <v>0</v>
      </c>
      <c r="I131" t="n">
        <v>2</v>
      </c>
      <c r="J131" t="n">
        <v>2</v>
      </c>
      <c r="K131" t="n">
        <v>3</v>
      </c>
      <c r="L131" t="n">
        <v>5</v>
      </c>
      <c r="M131" t="n">
        <v>6666.78707059411</v>
      </c>
      <c r="N131" t="n">
        <v>45.72411633181986</v>
      </c>
      <c r="O131">
        <f>IF(N131=0, 0, M131/N131)</f>
        <v/>
      </c>
      <c r="P131">
        <f>RANK(O131, O$2:O$518, 0)</f>
        <v/>
      </c>
      <c r="Q131">
        <f>SUM(C131,F131)</f>
        <v/>
      </c>
      <c r="R131">
        <f>SUM(Q131,G131,H131,D131,E131)</f>
        <v/>
      </c>
      <c r="S131">
        <f>SUM(R131,I131,J131,K131,L131)</f>
        <v/>
      </c>
      <c r="T131">
        <f>IF(R131=0, -1, Q131/R131)</f>
        <v/>
      </c>
      <c r="U131">
        <f>IF(S131=0, -1, Q131/S131)</f>
        <v/>
      </c>
      <c r="V131">
        <f>IF(S131=0, -1, R131/S131)</f>
        <v/>
      </c>
    </row>
    <row r="132">
      <c r="A132" t="inlineStr">
        <is>
          <t>RC00449</t>
        </is>
      </c>
      <c r="B132" t="inlineStr">
        <is>
          <t>江西师范大学</t>
        </is>
      </c>
      <c r="C132" t="n">
        <v>0</v>
      </c>
      <c r="D132" t="n">
        <v>0</v>
      </c>
      <c r="E132" t="n">
        <v>0</v>
      </c>
      <c r="F132" t="n">
        <v>0</v>
      </c>
      <c r="G132" t="n">
        <v>1</v>
      </c>
      <c r="H132" t="n">
        <v>0</v>
      </c>
      <c r="I132" t="n">
        <v>2</v>
      </c>
      <c r="J132" t="n">
        <v>5</v>
      </c>
      <c r="K132" t="n">
        <v>7</v>
      </c>
      <c r="L132" t="n">
        <v>10</v>
      </c>
      <c r="M132" t="n">
        <v>9830.818980684075</v>
      </c>
      <c r="N132" t="n">
        <v>113.2913848077748</v>
      </c>
      <c r="O132">
        <f>IF(N132=0, 0, M132/N132)</f>
        <v/>
      </c>
      <c r="P132">
        <f>RANK(O132, O$2:O$518, 0)</f>
        <v/>
      </c>
      <c r="Q132">
        <f>SUM(C132,F132)</f>
        <v/>
      </c>
      <c r="R132">
        <f>SUM(Q132,G132,H132,D132,E132)</f>
        <v/>
      </c>
      <c r="S132">
        <f>SUM(R132,I132,J132,K132,L132)</f>
        <v/>
      </c>
      <c r="T132">
        <f>IF(R132=0, -1, Q132/R132)</f>
        <v/>
      </c>
      <c r="U132">
        <f>IF(S132=0, -1, Q132/S132)</f>
        <v/>
      </c>
      <c r="V132">
        <f>IF(S132=0, -1, R132/S132)</f>
        <v/>
      </c>
    </row>
    <row r="133">
      <c r="A133" t="inlineStr">
        <is>
          <t>RC00765</t>
        </is>
      </c>
      <c r="B133" t="inlineStr">
        <is>
          <t>兰州财经大学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2</v>
      </c>
      <c r="L133" t="n">
        <v>1</v>
      </c>
      <c r="M133" t="n">
        <v>762.4577213990005</v>
      </c>
      <c r="N133" t="n">
        <v>13.6204951743714</v>
      </c>
      <c r="O133">
        <f>IF(N133=0, 0, M133/N133)</f>
        <v/>
      </c>
      <c r="P133">
        <f>RANK(O133, O$2:O$518, 0)</f>
        <v/>
      </c>
      <c r="Q133">
        <f>SUM(C133,F133)</f>
        <v/>
      </c>
      <c r="R133">
        <f>SUM(Q133,G133,H133,D133,E133)</f>
        <v/>
      </c>
      <c r="S133">
        <f>SUM(R133,I133,J133,K133,L133)</f>
        <v/>
      </c>
      <c r="T133">
        <f>IF(R133=0, -1, Q133/R133)</f>
        <v/>
      </c>
      <c r="U133">
        <f>IF(S133=0, -1, Q133/S133)</f>
        <v/>
      </c>
      <c r="V133">
        <f>IF(S133=0, -1, R133/S133)</f>
        <v/>
      </c>
    </row>
    <row r="134">
      <c r="A134" t="inlineStr">
        <is>
          <t>RC00469</t>
        </is>
      </c>
      <c r="B134" t="inlineStr">
        <is>
          <t>山东理工大学</t>
        </is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1</v>
      </c>
      <c r="K134" t="n">
        <v>2</v>
      </c>
      <c r="L134" t="n">
        <v>3</v>
      </c>
      <c r="M134" t="n">
        <v>1845.938041284054</v>
      </c>
      <c r="N134" t="n">
        <v>26.3894862684953</v>
      </c>
      <c r="O134">
        <f>IF(N134=0, 0, M134/N134)</f>
        <v/>
      </c>
      <c r="P134">
        <f>RANK(O134, O$2:O$518, 0)</f>
        <v/>
      </c>
      <c r="Q134">
        <f>SUM(C134,F134)</f>
        <v/>
      </c>
      <c r="R134">
        <f>SUM(Q134,G134,H134,D134,E134)</f>
        <v/>
      </c>
      <c r="S134">
        <f>SUM(R134,I134,J134,K134,L134)</f>
        <v/>
      </c>
      <c r="T134">
        <f>IF(R134=0, -1, Q134/R134)</f>
        <v/>
      </c>
      <c r="U134">
        <f>IF(S134=0, -1, Q134/S134)</f>
        <v/>
      </c>
      <c r="V134">
        <f>IF(S134=0, -1, R134/S134)</f>
        <v/>
      </c>
    </row>
    <row r="135">
      <c r="A135" t="inlineStr">
        <is>
          <t>RC00400</t>
        </is>
      </c>
      <c r="B135" t="inlineStr">
        <is>
          <t>安徽工业大学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2</v>
      </c>
      <c r="L135" t="n">
        <v>3</v>
      </c>
      <c r="M135" t="n">
        <v>1507.944728223519</v>
      </c>
      <c r="N135" t="n">
        <v>22.36882482361266</v>
      </c>
      <c r="O135">
        <f>IF(N135=0, 0, M135/N135)</f>
        <v/>
      </c>
      <c r="P135">
        <f>RANK(O135, O$2:O$518, 0)</f>
        <v/>
      </c>
      <c r="Q135">
        <f>SUM(C135,F135)</f>
        <v/>
      </c>
      <c r="R135">
        <f>SUM(Q135,G135,H135,D135,E135)</f>
        <v/>
      </c>
      <c r="S135">
        <f>SUM(R135,I135,J135,K135,L135)</f>
        <v/>
      </c>
      <c r="T135">
        <f>IF(R135=0, -1, Q135/R135)</f>
        <v/>
      </c>
      <c r="U135">
        <f>IF(S135=0, -1, Q135/S135)</f>
        <v/>
      </c>
      <c r="V135">
        <f>IF(S135=0, -1, R135/S135)</f>
        <v/>
      </c>
    </row>
    <row r="136">
      <c r="A136" t="inlineStr">
        <is>
          <t>RC00075</t>
        </is>
      </c>
      <c r="B136" t="inlineStr">
        <is>
          <t>江南大学</t>
        </is>
      </c>
      <c r="C136" t="n">
        <v>1</v>
      </c>
      <c r="D136" t="n">
        <v>0</v>
      </c>
      <c r="E136" t="n">
        <v>1</v>
      </c>
      <c r="F136" t="n">
        <v>2</v>
      </c>
      <c r="G136" t="n">
        <v>0</v>
      </c>
      <c r="H136" t="n">
        <v>0</v>
      </c>
      <c r="I136" t="n">
        <v>3</v>
      </c>
      <c r="J136" t="n">
        <v>6</v>
      </c>
      <c r="K136" t="n">
        <v>5</v>
      </c>
      <c r="L136" t="n">
        <v>6</v>
      </c>
      <c r="M136" t="n">
        <v>19786.19222625806</v>
      </c>
      <c r="N136" t="n">
        <v>103.5794800970761</v>
      </c>
      <c r="O136">
        <f>IF(N136=0, 0, M136/N136)</f>
        <v/>
      </c>
      <c r="P136">
        <f>RANK(O136, O$2:O$518, 0)</f>
        <v/>
      </c>
      <c r="Q136">
        <f>SUM(C136,F136)</f>
        <v/>
      </c>
      <c r="R136">
        <f>SUM(Q136,G136,H136,D136,E136)</f>
        <v/>
      </c>
      <c r="S136">
        <f>SUM(R136,I136,J136,K136,L136)</f>
        <v/>
      </c>
      <c r="T136">
        <f>IF(R136=0, -1, Q136/R136)</f>
        <v/>
      </c>
      <c r="U136">
        <f>IF(S136=0, -1, Q136/S136)</f>
        <v/>
      </c>
      <c r="V136">
        <f>IF(S136=0, -1, R136/S136)</f>
        <v/>
      </c>
    </row>
    <row r="137">
      <c r="A137" t="inlineStr">
        <is>
          <t>RC00465</t>
        </is>
      </c>
      <c r="B137" t="inlineStr">
        <is>
          <t>济南大学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2</v>
      </c>
      <c r="K137" t="n">
        <v>3</v>
      </c>
      <c r="L137" t="n">
        <v>6</v>
      </c>
      <c r="M137" t="n">
        <v>3286.59386165851</v>
      </c>
      <c r="N137" t="n">
        <v>50.7127945220193</v>
      </c>
      <c r="O137">
        <f>IF(N137=0, 0, M137/N137)</f>
        <v/>
      </c>
      <c r="P137">
        <f>RANK(O137, O$2:O$518, 0)</f>
        <v/>
      </c>
      <c r="Q137">
        <f>SUM(C137,F137)</f>
        <v/>
      </c>
      <c r="R137">
        <f>SUM(Q137,G137,H137,D137,E137)</f>
        <v/>
      </c>
      <c r="S137">
        <f>SUM(R137,I137,J137,K137,L137)</f>
        <v/>
      </c>
      <c r="T137">
        <f>IF(R137=0, -1, Q137/R137)</f>
        <v/>
      </c>
      <c r="U137">
        <f>IF(S137=0, -1, Q137/S137)</f>
        <v/>
      </c>
      <c r="V137">
        <f>IF(S137=0, -1, R137/S137)</f>
        <v/>
      </c>
    </row>
    <row r="138">
      <c r="A138" t="inlineStr">
        <is>
          <t>RC00506</t>
        </is>
      </c>
      <c r="B138" t="inlineStr">
        <is>
          <t>河南工业大学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1</v>
      </c>
      <c r="J138" t="n">
        <v>0</v>
      </c>
      <c r="K138" t="n">
        <v>3</v>
      </c>
      <c r="L138" t="n">
        <v>2</v>
      </c>
      <c r="M138" t="n">
        <v>2160.88760918948</v>
      </c>
      <c r="N138" t="n">
        <v>28.98820338941906</v>
      </c>
      <c r="O138">
        <f>IF(N138=0, 0, M138/N138)</f>
        <v/>
      </c>
      <c r="P138">
        <f>RANK(O138, O$2:O$518, 0)</f>
        <v/>
      </c>
      <c r="Q138">
        <f>SUM(C138,F138)</f>
        <v/>
      </c>
      <c r="R138">
        <f>SUM(Q138,G138,H138,D138,E138)</f>
        <v/>
      </c>
      <c r="S138">
        <f>SUM(R138,I138,J138,K138,L138)</f>
        <v/>
      </c>
      <c r="T138">
        <f>IF(R138=0, -1, Q138/R138)</f>
        <v/>
      </c>
      <c r="U138">
        <f>IF(S138=0, -1, Q138/S138)</f>
        <v/>
      </c>
      <c r="V138">
        <f>IF(S138=0, -1, R138/S138)</f>
        <v/>
      </c>
    </row>
    <row r="139">
      <c r="A139" t="inlineStr">
        <is>
          <t>RC00514</t>
        </is>
      </c>
      <c r="B139" t="inlineStr">
        <is>
          <t>河南师范大学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5</v>
      </c>
      <c r="K139" t="n">
        <v>5</v>
      </c>
      <c r="L139" t="n">
        <v>7</v>
      </c>
      <c r="M139" t="n">
        <v>5911.009102374313</v>
      </c>
      <c r="N139" t="n">
        <v>76.16934011658358</v>
      </c>
      <c r="O139">
        <f>IF(N139=0, 0, M139/N139)</f>
        <v/>
      </c>
      <c r="P139">
        <f>RANK(O139, O$2:O$518, 0)</f>
        <v/>
      </c>
      <c r="Q139">
        <f>SUM(C139,F139)</f>
        <v/>
      </c>
      <c r="R139">
        <f>SUM(Q139,G139,H139,D139,E139)</f>
        <v/>
      </c>
      <c r="S139">
        <f>SUM(R139,I139,J139,K139,L139)</f>
        <v/>
      </c>
      <c r="T139">
        <f>IF(R139=0, -1, Q139/R139)</f>
        <v/>
      </c>
      <c r="U139">
        <f>IF(S139=0, -1, Q139/S139)</f>
        <v/>
      </c>
      <c r="V139">
        <f>IF(S139=0, -1, R139/S139)</f>
        <v/>
      </c>
    </row>
    <row r="140">
      <c r="A140" t="inlineStr">
        <is>
          <t>RC00616</t>
        </is>
      </c>
      <c r="B140" t="inlineStr">
        <is>
          <t>广东工业大学</t>
        </is>
      </c>
      <c r="C140" t="n">
        <v>0</v>
      </c>
      <c r="D140" t="n">
        <v>0</v>
      </c>
      <c r="E140" t="n">
        <v>0</v>
      </c>
      <c r="F140" t="n">
        <v>0</v>
      </c>
      <c r="G140" t="n">
        <v>2</v>
      </c>
      <c r="H140" t="n">
        <v>2</v>
      </c>
      <c r="I140" t="n">
        <v>3</v>
      </c>
      <c r="J140" t="n">
        <v>4</v>
      </c>
      <c r="K140" t="n">
        <v>8</v>
      </c>
      <c r="L140" t="n">
        <v>2</v>
      </c>
      <c r="M140" t="n">
        <v>11875.53661507273</v>
      </c>
      <c r="N140" t="n">
        <v>94.53551944806836</v>
      </c>
      <c r="O140">
        <f>IF(N140=0, 0, M140/N140)</f>
        <v/>
      </c>
      <c r="P140">
        <f>RANK(O140, O$2:O$518, 0)</f>
        <v/>
      </c>
      <c r="Q140">
        <f>SUM(C140,F140)</f>
        <v/>
      </c>
      <c r="R140">
        <f>SUM(Q140,G140,H140,D140,E140)</f>
        <v/>
      </c>
      <c r="S140">
        <f>SUM(R140,I140,J140,K140,L140)</f>
        <v/>
      </c>
      <c r="T140">
        <f>IF(R140=0, -1, Q140/R140)</f>
        <v/>
      </c>
      <c r="U140">
        <f>IF(S140=0, -1, Q140/S140)</f>
        <v/>
      </c>
      <c r="V140">
        <f>IF(S140=0, -1, R140/S140)</f>
        <v/>
      </c>
    </row>
    <row r="141">
      <c r="A141" t="inlineStr">
        <is>
          <t>RC00063</t>
        </is>
      </c>
      <c r="B141" t="inlineStr">
        <is>
          <t>西北农林科技大学</t>
        </is>
      </c>
      <c r="C141" t="n">
        <v>3</v>
      </c>
      <c r="D141" t="n">
        <v>1</v>
      </c>
      <c r="E141" t="n">
        <v>0</v>
      </c>
      <c r="F141" t="n">
        <v>0</v>
      </c>
      <c r="G141" t="n">
        <v>0</v>
      </c>
      <c r="H141" t="n">
        <v>6</v>
      </c>
      <c r="I141" t="n">
        <v>3</v>
      </c>
      <c r="J141" t="n">
        <v>2</v>
      </c>
      <c r="K141" t="n">
        <v>2</v>
      </c>
      <c r="L141" t="n">
        <v>2</v>
      </c>
      <c r="M141" t="n">
        <v>22808.2813140036</v>
      </c>
      <c r="N141" t="n">
        <v>66.96587085960695</v>
      </c>
      <c r="O141">
        <f>IF(N141=0, 0, M141/N141)</f>
        <v/>
      </c>
      <c r="P141">
        <f>RANK(O141, O$2:O$518, 0)</f>
        <v/>
      </c>
      <c r="Q141">
        <f>SUM(C141,F141)</f>
        <v/>
      </c>
      <c r="R141">
        <f>SUM(Q141,G141,H141,D141,E141)</f>
        <v/>
      </c>
      <c r="S141">
        <f>SUM(R141,I141,J141,K141,L141)</f>
        <v/>
      </c>
      <c r="T141">
        <f>IF(R141=0, -1, Q141/R141)</f>
        <v/>
      </c>
      <c r="U141">
        <f>IF(S141=0, -1, Q141/S141)</f>
        <v/>
      </c>
      <c r="V141">
        <f>IF(S141=0, -1, R141/S141)</f>
        <v/>
      </c>
    </row>
    <row r="142">
      <c r="A142" t="inlineStr">
        <is>
          <t>RC00523</t>
        </is>
      </c>
      <c r="B142" t="inlineStr">
        <is>
          <t>郑州航空工业管理学院</t>
        </is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 t="n">
        <v>3</v>
      </c>
      <c r="M142" t="n">
        <v>1407.670067558265</v>
      </c>
      <c r="N142" t="n">
        <v>20.93160433227592</v>
      </c>
      <c r="O142">
        <f>IF(N142=0, 0, M142/N142)</f>
        <v/>
      </c>
      <c r="P142">
        <f>RANK(O142, O$2:O$518, 0)</f>
        <v/>
      </c>
      <c r="Q142">
        <f>SUM(C142,F142)</f>
        <v/>
      </c>
      <c r="R142">
        <f>SUM(Q142,G142,H142,D142,E142)</f>
        <v/>
      </c>
      <c r="S142">
        <f>SUM(R142,I142,J142,K142,L142)</f>
        <v/>
      </c>
      <c r="T142">
        <f>IF(R142=0, -1, Q142/R142)</f>
        <v/>
      </c>
      <c r="U142">
        <f>IF(S142=0, -1, Q142/S142)</f>
        <v/>
      </c>
      <c r="V142">
        <f>IF(S142=0, -1, R142/S142)</f>
        <v/>
      </c>
    </row>
    <row r="143">
      <c r="A143" t="inlineStr">
        <is>
          <t>RC00089</t>
        </is>
      </c>
      <c r="B143" t="inlineStr">
        <is>
          <t>杭州电子科技大学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2</v>
      </c>
      <c r="I143" t="n">
        <v>2</v>
      </c>
      <c r="J143" t="n">
        <v>4</v>
      </c>
      <c r="K143" t="n">
        <v>4</v>
      </c>
      <c r="L143" t="n">
        <v>4</v>
      </c>
      <c r="M143" t="n">
        <v>8325.576172374074</v>
      </c>
      <c r="N143" t="n">
        <v>73.70316783468398</v>
      </c>
      <c r="O143">
        <f>IF(N143=0, 0, M143/N143)</f>
        <v/>
      </c>
      <c r="P143">
        <f>RANK(O143, O$2:O$518, 0)</f>
        <v/>
      </c>
      <c r="Q143">
        <f>SUM(C143,F143)</f>
        <v/>
      </c>
      <c r="R143">
        <f>SUM(Q143,G143,H143,D143,E143)</f>
        <v/>
      </c>
      <c r="S143">
        <f>SUM(R143,I143,J143,K143,L143)</f>
        <v/>
      </c>
      <c r="T143">
        <f>IF(R143=0, -1, Q143/R143)</f>
        <v/>
      </c>
      <c r="U143">
        <f>IF(S143=0, -1, Q143/S143)</f>
        <v/>
      </c>
      <c r="V143">
        <f>IF(S143=0, -1, R143/S143)</f>
        <v/>
      </c>
    </row>
    <row r="144">
      <c r="A144" t="inlineStr">
        <is>
          <t>RC00090</t>
        </is>
      </c>
      <c r="B144" t="inlineStr">
        <is>
          <t>杭州师范大学</t>
        </is>
      </c>
      <c r="C144" t="n">
        <v>0</v>
      </c>
      <c r="D144" t="n">
        <v>0</v>
      </c>
      <c r="E144" t="n">
        <v>0</v>
      </c>
      <c r="F144" t="n">
        <v>0</v>
      </c>
      <c r="G144" t="n">
        <v>2</v>
      </c>
      <c r="H144" t="n">
        <v>3</v>
      </c>
      <c r="I144" t="n">
        <v>5</v>
      </c>
      <c r="J144" t="n">
        <v>3</v>
      </c>
      <c r="K144" t="n">
        <v>4</v>
      </c>
      <c r="L144" t="n">
        <v>7</v>
      </c>
      <c r="M144" t="n">
        <v>13461.2670564123</v>
      </c>
      <c r="N144" t="n">
        <v>108.5453095652937</v>
      </c>
      <c r="O144">
        <f>IF(N144=0, 0, M144/N144)</f>
        <v/>
      </c>
      <c r="P144">
        <f>RANK(O144, O$2:O$518, 0)</f>
        <v/>
      </c>
      <c r="Q144">
        <f>SUM(C144,F144)</f>
        <v/>
      </c>
      <c r="R144">
        <f>SUM(Q144,G144,H144,D144,E144)</f>
        <v/>
      </c>
      <c r="S144">
        <f>SUM(R144,I144,J144,K144,L144)</f>
        <v/>
      </c>
      <c r="T144">
        <f>IF(R144=0, -1, Q144/R144)</f>
        <v/>
      </c>
      <c r="U144">
        <f>IF(S144=0, -1, Q144/S144)</f>
        <v/>
      </c>
      <c r="V144">
        <f>IF(S144=0, -1, R144/S144)</f>
        <v/>
      </c>
    </row>
    <row r="145">
      <c r="A145" t="inlineStr">
        <is>
          <t>RC00660</t>
        </is>
      </c>
      <c r="B145" t="inlineStr">
        <is>
          <t>成都理工大学</t>
        </is>
      </c>
      <c r="C145" t="n">
        <v>0</v>
      </c>
      <c r="D145" t="n">
        <v>0</v>
      </c>
      <c r="E145" t="n">
        <v>0</v>
      </c>
      <c r="F145" t="n">
        <v>0</v>
      </c>
      <c r="G145" t="n">
        <v>1</v>
      </c>
      <c r="H145" t="n">
        <v>0</v>
      </c>
      <c r="I145" t="n">
        <v>0</v>
      </c>
      <c r="J145" t="n">
        <v>2</v>
      </c>
      <c r="K145" t="n">
        <v>1</v>
      </c>
      <c r="L145" t="n">
        <v>4</v>
      </c>
      <c r="M145" t="n">
        <v>4085.022706531483</v>
      </c>
      <c r="N145" t="n">
        <v>30.52948243420098</v>
      </c>
      <c r="O145">
        <f>IF(N145=0, 0, M145/N145)</f>
        <v/>
      </c>
      <c r="P145">
        <f>RANK(O145, O$2:O$518, 0)</f>
        <v/>
      </c>
      <c r="Q145">
        <f>SUM(C145,F145)</f>
        <v/>
      </c>
      <c r="R145">
        <f>SUM(Q145,G145,H145,D145,E145)</f>
        <v/>
      </c>
      <c r="S145">
        <f>SUM(R145,I145,J145,K145,L145)</f>
        <v/>
      </c>
      <c r="T145">
        <f>IF(R145=0, -1, Q145/R145)</f>
        <v/>
      </c>
      <c r="U145">
        <f>IF(S145=0, -1, Q145/S145)</f>
        <v/>
      </c>
      <c r="V145">
        <f>IF(S145=0, -1, R145/S145)</f>
        <v/>
      </c>
    </row>
    <row r="146">
      <c r="A146" t="inlineStr">
        <is>
          <t>RC00044</t>
        </is>
      </c>
      <c r="B146" t="inlineStr">
        <is>
          <t>南京航空航天大学</t>
        </is>
      </c>
      <c r="C146" t="n">
        <v>0</v>
      </c>
      <c r="D146" t="n">
        <v>0</v>
      </c>
      <c r="E146" t="n">
        <v>1</v>
      </c>
      <c r="F146" t="n">
        <v>0</v>
      </c>
      <c r="G146" t="n">
        <v>3</v>
      </c>
      <c r="H146" t="n">
        <v>5</v>
      </c>
      <c r="I146" t="n">
        <v>3</v>
      </c>
      <c r="J146" t="n">
        <v>4</v>
      </c>
      <c r="K146" t="n">
        <v>2</v>
      </c>
      <c r="L146" t="n">
        <v>7</v>
      </c>
      <c r="M146" t="n">
        <v>22081.30947345295</v>
      </c>
      <c r="N146" t="n">
        <v>108.2168473718743</v>
      </c>
      <c r="O146">
        <f>IF(N146=0, 0, M146/N146)</f>
        <v/>
      </c>
      <c r="P146">
        <f>RANK(O146, O$2:O$518, 0)</f>
        <v/>
      </c>
      <c r="Q146">
        <f>SUM(C146,F146)</f>
        <v/>
      </c>
      <c r="R146">
        <f>SUM(Q146,G146,H146,D146,E146)</f>
        <v/>
      </c>
      <c r="S146">
        <f>SUM(R146,I146,J146,K146,L146)</f>
        <v/>
      </c>
      <c r="T146">
        <f>IF(R146=0, -1, Q146/R146)</f>
        <v/>
      </c>
      <c r="U146">
        <f>IF(S146=0, -1, Q146/S146)</f>
        <v/>
      </c>
      <c r="V146">
        <f>IF(S146=0, -1, R146/S146)</f>
        <v/>
      </c>
    </row>
    <row r="147">
      <c r="A147" t="inlineStr">
        <is>
          <t>RC00750</t>
        </is>
      </c>
      <c r="B147" t="inlineStr">
        <is>
          <t>西安财经大学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3</v>
      </c>
      <c r="M147" t="n">
        <v>649.5541542464641</v>
      </c>
      <c r="N147" t="n">
        <v>13.83702348656689</v>
      </c>
      <c r="O147">
        <f>IF(N147=0, 0, M147/N147)</f>
        <v/>
      </c>
      <c r="P147">
        <f>RANK(O147, O$2:O$518, 0)</f>
        <v/>
      </c>
      <c r="Q147">
        <f>SUM(C147,F147)</f>
        <v/>
      </c>
      <c r="R147">
        <f>SUM(Q147,G147,H147,D147,E147)</f>
        <v/>
      </c>
      <c r="S147">
        <f>SUM(R147,I147,J147,K147,L147)</f>
        <v/>
      </c>
      <c r="T147">
        <f>IF(R147=0, -1, Q147/R147)</f>
        <v/>
      </c>
      <c r="U147">
        <f>IF(S147=0, -1, Q147/S147)</f>
        <v/>
      </c>
      <c r="V147">
        <f>IF(S147=0, -1, R147/S147)</f>
        <v/>
      </c>
    </row>
    <row r="148">
      <c r="A148" t="inlineStr">
        <is>
          <t>RC00376</t>
        </is>
      </c>
      <c r="B148" t="inlineStr">
        <is>
          <t>浙江理工大学</t>
        </is>
      </c>
      <c r="C148" t="n">
        <v>1</v>
      </c>
      <c r="D148" t="n">
        <v>0</v>
      </c>
      <c r="E148" t="n">
        <v>0</v>
      </c>
      <c r="F148" t="n">
        <v>0</v>
      </c>
      <c r="G148" t="n">
        <v>1</v>
      </c>
      <c r="H148" t="n">
        <v>0</v>
      </c>
      <c r="I148" t="n">
        <v>1</v>
      </c>
      <c r="J148" t="n">
        <v>1</v>
      </c>
      <c r="K148" t="n">
        <v>3</v>
      </c>
      <c r="L148" t="n">
        <v>9</v>
      </c>
      <c r="M148" t="n">
        <v>7663.087698599924</v>
      </c>
      <c r="N148" t="n">
        <v>72.64679912441164</v>
      </c>
      <c r="O148">
        <f>IF(N148=0, 0, M148/N148)</f>
        <v/>
      </c>
      <c r="P148">
        <f>RANK(O148, O$2:O$518, 0)</f>
        <v/>
      </c>
      <c r="Q148">
        <f>SUM(C148,F148)</f>
        <v/>
      </c>
      <c r="R148">
        <f>SUM(Q148,G148,H148,D148,E148)</f>
        <v/>
      </c>
      <c r="S148">
        <f>SUM(R148,I148,J148,K148,L148)</f>
        <v/>
      </c>
      <c r="T148">
        <f>IF(R148=0, -1, Q148/R148)</f>
        <v/>
      </c>
      <c r="U148">
        <f>IF(S148=0, -1, Q148/S148)</f>
        <v/>
      </c>
      <c r="V148">
        <f>IF(S148=0, -1, R148/S148)</f>
        <v/>
      </c>
    </row>
    <row r="149">
      <c r="A149" t="inlineStr">
        <is>
          <t>RC00349</t>
        </is>
      </c>
      <c r="B149" t="inlineStr">
        <is>
          <t>南京林业大学</t>
        </is>
      </c>
      <c r="C149" t="n">
        <v>2</v>
      </c>
      <c r="D149" t="n">
        <v>1</v>
      </c>
      <c r="E149" t="n">
        <v>0</v>
      </c>
      <c r="F149" t="n">
        <v>0</v>
      </c>
      <c r="G149" t="n">
        <v>0</v>
      </c>
      <c r="H149" t="n">
        <v>0</v>
      </c>
      <c r="I149" t="n">
        <v>3</v>
      </c>
      <c r="J149" t="n">
        <v>2</v>
      </c>
      <c r="K149" t="n">
        <v>4</v>
      </c>
      <c r="L149" t="n">
        <v>4</v>
      </c>
      <c r="M149" t="n">
        <v>10095.91545494694</v>
      </c>
      <c r="N149" t="n">
        <v>63.18891224003833</v>
      </c>
      <c r="O149">
        <f>IF(N149=0, 0, M149/N149)</f>
        <v/>
      </c>
      <c r="P149">
        <f>RANK(O149, O$2:O$518, 0)</f>
        <v/>
      </c>
      <c r="Q149">
        <f>SUM(C149,F149)</f>
        <v/>
      </c>
      <c r="R149">
        <f>SUM(Q149,G149,H149,D149,E149)</f>
        <v/>
      </c>
      <c r="S149">
        <f>SUM(R149,I149,J149,K149,L149)</f>
        <v/>
      </c>
      <c r="T149">
        <f>IF(R149=0, -1, Q149/R149)</f>
        <v/>
      </c>
      <c r="U149">
        <f>IF(S149=0, -1, Q149/S149)</f>
        <v/>
      </c>
      <c r="V149">
        <f>IF(S149=0, -1, R149/S149)</f>
        <v/>
      </c>
    </row>
    <row r="150">
      <c r="A150" t="inlineStr">
        <is>
          <t>RC00426</t>
        </is>
      </c>
      <c r="B150" t="inlineStr">
        <is>
          <t>集美大学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1</v>
      </c>
      <c r="J150" t="n">
        <v>1</v>
      </c>
      <c r="K150" t="n">
        <v>2</v>
      </c>
      <c r="L150" t="n">
        <v>5</v>
      </c>
      <c r="M150" t="n">
        <v>2399.912314709946</v>
      </c>
      <c r="N150" t="n">
        <v>37.71830600252885</v>
      </c>
      <c r="O150">
        <f>IF(N150=0, 0, M150/N150)</f>
        <v/>
      </c>
      <c r="P150">
        <f>RANK(O150, O$2:O$518, 0)</f>
        <v/>
      </c>
      <c r="Q150">
        <f>SUM(C150,F150)</f>
        <v/>
      </c>
      <c r="R150">
        <f>SUM(Q150,G150,H150,D150,E150)</f>
        <v/>
      </c>
      <c r="S150">
        <f>SUM(R150,I150,J150,K150,L150)</f>
        <v/>
      </c>
      <c r="T150">
        <f>IF(R150=0, -1, Q150/R150)</f>
        <v/>
      </c>
      <c r="U150">
        <f>IF(S150=0, -1, Q150/S150)</f>
        <v/>
      </c>
      <c r="V150">
        <f>IF(S150=0, -1, R150/S150)</f>
        <v/>
      </c>
    </row>
    <row r="151">
      <c r="A151" t="inlineStr">
        <is>
          <t>RC00028</t>
        </is>
      </c>
      <c r="B151" t="inlineStr">
        <is>
          <t>南京理工大学</t>
        </is>
      </c>
      <c r="C151" t="n">
        <v>1</v>
      </c>
      <c r="D151" t="n">
        <v>0</v>
      </c>
      <c r="E151" t="n">
        <v>0</v>
      </c>
      <c r="F151" t="n">
        <v>0</v>
      </c>
      <c r="G151" t="n">
        <v>0</v>
      </c>
      <c r="H151" t="n">
        <v>5</v>
      </c>
      <c r="I151" t="n">
        <v>7</v>
      </c>
      <c r="J151" t="n">
        <v>9</v>
      </c>
      <c r="K151" t="n">
        <v>4</v>
      </c>
      <c r="L151" t="n">
        <v>2</v>
      </c>
      <c r="M151" t="n">
        <v>20686.33077839056</v>
      </c>
      <c r="N151" t="n">
        <v>121.3056682275024</v>
      </c>
      <c r="O151">
        <f>IF(N151=0, 0, M151/N151)</f>
        <v/>
      </c>
      <c r="P151">
        <f>RANK(O151, O$2:O$518, 0)</f>
        <v/>
      </c>
      <c r="Q151">
        <f>SUM(C151,F151)</f>
        <v/>
      </c>
      <c r="R151">
        <f>SUM(Q151,G151,H151,D151,E151)</f>
        <v/>
      </c>
      <c r="S151">
        <f>SUM(R151,I151,J151,K151,L151)</f>
        <v/>
      </c>
      <c r="T151">
        <f>IF(R151=0, -1, Q151/R151)</f>
        <v/>
      </c>
      <c r="U151">
        <f>IF(S151=0, -1, Q151/S151)</f>
        <v/>
      </c>
      <c r="V151">
        <f>IF(S151=0, -1, R151/S151)</f>
        <v/>
      </c>
    </row>
    <row r="152">
      <c r="A152" t="inlineStr">
        <is>
          <t>RC00087</t>
        </is>
      </c>
      <c r="B152" t="inlineStr">
        <is>
          <t>河海大学</t>
        </is>
      </c>
      <c r="C152" t="n">
        <v>1</v>
      </c>
      <c r="D152" t="n">
        <v>0</v>
      </c>
      <c r="E152" t="n">
        <v>0</v>
      </c>
      <c r="F152" t="n">
        <v>0</v>
      </c>
      <c r="G152" t="n">
        <v>1</v>
      </c>
      <c r="H152" t="n">
        <v>1</v>
      </c>
      <c r="I152" t="n">
        <v>4</v>
      </c>
      <c r="J152" t="n">
        <v>5</v>
      </c>
      <c r="K152" t="n">
        <v>7</v>
      </c>
      <c r="L152" t="n">
        <v>8</v>
      </c>
      <c r="M152" t="n">
        <v>15450.29394337367</v>
      </c>
      <c r="N152" t="n">
        <v>113.1264069847534</v>
      </c>
      <c r="O152">
        <f>IF(N152=0, 0, M152/N152)</f>
        <v/>
      </c>
      <c r="P152">
        <f>RANK(O152, O$2:O$518, 0)</f>
        <v/>
      </c>
      <c r="Q152">
        <f>SUM(C152,F152)</f>
        <v/>
      </c>
      <c r="R152">
        <f>SUM(Q152,G152,H152,D152,E152)</f>
        <v/>
      </c>
      <c r="S152">
        <f>SUM(R152,I152,J152,K152,L152)</f>
        <v/>
      </c>
      <c r="T152">
        <f>IF(R152=0, -1, Q152/R152)</f>
        <v/>
      </c>
      <c r="U152">
        <f>IF(S152=0, -1, Q152/S152)</f>
        <v/>
      </c>
      <c r="V152">
        <f>IF(S152=0, -1, R152/S152)</f>
        <v/>
      </c>
    </row>
    <row r="153">
      <c r="A153" t="inlineStr">
        <is>
          <t>RC00116</t>
        </is>
      </c>
      <c r="B153" t="inlineStr">
        <is>
          <t>常州大学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1</v>
      </c>
      <c r="J153" t="n">
        <v>2</v>
      </c>
      <c r="K153" t="n">
        <v>3</v>
      </c>
      <c r="L153" t="n">
        <v>6</v>
      </c>
      <c r="M153" t="n">
        <v>3822.18195569061</v>
      </c>
      <c r="N153" t="n">
        <v>55.73837604457586</v>
      </c>
      <c r="O153">
        <f>IF(N153=0, 0, M153/N153)</f>
        <v/>
      </c>
      <c r="P153">
        <f>RANK(O153, O$2:O$518, 0)</f>
        <v/>
      </c>
      <c r="Q153">
        <f>SUM(C153,F153)</f>
        <v/>
      </c>
      <c r="R153">
        <f>SUM(Q153,G153,H153,D153,E153)</f>
        <v/>
      </c>
      <c r="S153">
        <f>SUM(R153,I153,J153,K153,L153)</f>
        <v/>
      </c>
      <c r="T153">
        <f>IF(R153=0, -1, Q153/R153)</f>
        <v/>
      </c>
      <c r="U153">
        <f>IF(S153=0, -1, Q153/S153)</f>
        <v/>
      </c>
      <c r="V153">
        <f>IF(S153=0, -1, R153/S153)</f>
        <v/>
      </c>
    </row>
    <row r="154">
      <c r="A154" t="inlineStr">
        <is>
          <t>RC00651</t>
        </is>
      </c>
      <c r="B154" t="inlineStr">
        <is>
          <t>西南政法大学</t>
        </is>
      </c>
      <c r="C154" t="n">
        <v>0</v>
      </c>
      <c r="D154" t="n">
        <v>0</v>
      </c>
      <c r="E154" t="n">
        <v>0</v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2</v>
      </c>
      <c r="L154" t="n">
        <v>2</v>
      </c>
      <c r="M154" t="n">
        <v>3891.571462661359</v>
      </c>
      <c r="N154" t="n">
        <v>24.18330112519956</v>
      </c>
      <c r="O154">
        <f>IF(N154=0, 0, M154/N154)</f>
        <v/>
      </c>
      <c r="P154">
        <f>RANK(O154, O$2:O$518, 0)</f>
        <v/>
      </c>
      <c r="Q154">
        <f>SUM(C154,F154)</f>
        <v/>
      </c>
      <c r="R154">
        <f>SUM(Q154,G154,H154,D154,E154)</f>
        <v/>
      </c>
      <c r="S154">
        <f>SUM(R154,I154,J154,K154,L154)</f>
        <v/>
      </c>
      <c r="T154">
        <f>IF(R154=0, -1, Q154/R154)</f>
        <v/>
      </c>
      <c r="U154">
        <f>IF(S154=0, -1, Q154/S154)</f>
        <v/>
      </c>
      <c r="V154">
        <f>IF(S154=0, -1, R154/S154)</f>
        <v/>
      </c>
    </row>
    <row r="155">
      <c r="A155" t="inlineStr">
        <is>
          <t>RC00338</t>
        </is>
      </c>
      <c r="B155" t="inlineStr">
        <is>
          <t>华东政法大学</t>
        </is>
      </c>
      <c r="C155" t="n">
        <v>0</v>
      </c>
      <c r="D155" t="n">
        <v>0</v>
      </c>
      <c r="E155" t="n">
        <v>0</v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3</v>
      </c>
      <c r="L155" t="n">
        <v>1</v>
      </c>
      <c r="M155" t="n">
        <v>3286.218876463815</v>
      </c>
      <c r="N155" t="n">
        <v>23.30635579514901</v>
      </c>
      <c r="O155">
        <f>IF(N155=0, 0, M155/N155)</f>
        <v/>
      </c>
      <c r="P155">
        <f>RANK(O155, O$2:O$518, 0)</f>
        <v/>
      </c>
      <c r="Q155">
        <f>SUM(C155,F155)</f>
        <v/>
      </c>
      <c r="R155">
        <f>SUM(Q155,G155,H155,D155,E155)</f>
        <v/>
      </c>
      <c r="S155">
        <f>SUM(R155,I155,J155,K155,L155)</f>
        <v/>
      </c>
      <c r="T155">
        <f>IF(R155=0, -1, Q155/R155)</f>
        <v/>
      </c>
      <c r="U155">
        <f>IF(S155=0, -1, Q155/S155)</f>
        <v/>
      </c>
      <c r="V155">
        <f>IF(S155=0, -1, R155/S155)</f>
        <v/>
      </c>
    </row>
    <row r="156">
      <c r="A156" t="inlineStr">
        <is>
          <t>RC00742</t>
        </is>
      </c>
      <c r="B156" t="inlineStr">
        <is>
          <t>西北政法大学</t>
        </is>
      </c>
      <c r="C156" t="n">
        <v>0</v>
      </c>
      <c r="D156" t="n">
        <v>0</v>
      </c>
      <c r="E156" t="n">
        <v>0</v>
      </c>
      <c r="F156" t="n">
        <v>0</v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898.6466803977944</v>
      </c>
      <c r="N156" t="n">
        <v>4.727387818712341</v>
      </c>
      <c r="O156">
        <f>IF(N156=0, 0, M156/N156)</f>
        <v/>
      </c>
      <c r="P156">
        <f>RANK(O156, O$2:O$518, 0)</f>
        <v/>
      </c>
      <c r="Q156">
        <f>SUM(C156,F156)</f>
        <v/>
      </c>
      <c r="R156">
        <f>SUM(Q156,G156,H156,D156,E156)</f>
        <v/>
      </c>
      <c r="S156">
        <f>SUM(R156,I156,J156,K156,L156)</f>
        <v/>
      </c>
      <c r="T156">
        <f>IF(R156=0, -1, Q156/R156)</f>
        <v/>
      </c>
      <c r="U156">
        <f>IF(S156=0, -1, Q156/S156)</f>
        <v/>
      </c>
      <c r="V156">
        <f>IF(S156=0, -1, R156/S156)</f>
        <v/>
      </c>
    </row>
    <row r="157">
      <c r="A157" t="inlineStr">
        <is>
          <t>RC00344</t>
        </is>
      </c>
      <c r="B157" t="inlineStr">
        <is>
          <t>上海政法学院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518.9368154409799</v>
      </c>
      <c r="N157" t="n">
        <v>4.727387818712341</v>
      </c>
      <c r="O157">
        <f>IF(N157=0, 0, M157/N157)</f>
        <v/>
      </c>
      <c r="P157">
        <f>RANK(O157, O$2:O$518, 0)</f>
        <v/>
      </c>
      <c r="Q157">
        <f>SUM(C157,F157)</f>
        <v/>
      </c>
      <c r="R157">
        <f>SUM(Q157,G157,H157,D157,E157)</f>
        <v/>
      </c>
      <c r="S157">
        <f>SUM(R157,I157,J157,K157,L157)</f>
        <v/>
      </c>
      <c r="T157">
        <f>IF(R157=0, -1, Q157/R157)</f>
        <v/>
      </c>
      <c r="U157">
        <f>IF(S157=0, -1, Q157/S157)</f>
        <v/>
      </c>
      <c r="V157">
        <f>IF(S157=0, -1, R157/S157)</f>
        <v/>
      </c>
    </row>
    <row r="158">
      <c r="A158" t="inlineStr">
        <is>
          <t>RC00144</t>
        </is>
      </c>
      <c r="B158" t="inlineStr">
        <is>
          <t>中国人民公安大学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370.2171183328942</v>
      </c>
      <c r="N158" t="n">
        <v>4.727387818712341</v>
      </c>
      <c r="O158">
        <f>IF(N158=0, 0, M158/N158)</f>
        <v/>
      </c>
      <c r="P158">
        <f>RANK(O158, O$2:O$518, 0)</f>
        <v/>
      </c>
      <c r="Q158">
        <f>SUM(C158,F158)</f>
        <v/>
      </c>
      <c r="R158">
        <f>SUM(Q158,G158,H158,D158,E158)</f>
        <v/>
      </c>
      <c r="S158">
        <f>SUM(R158,I158,J158,K158,L158)</f>
        <v/>
      </c>
      <c r="T158">
        <f>IF(R158=0, -1, Q158/R158)</f>
        <v/>
      </c>
      <c r="U158">
        <f>IF(S158=0, -1, Q158/S158)</f>
        <v/>
      </c>
      <c r="V158">
        <f>IF(S158=0, -1, R158/S158)</f>
        <v/>
      </c>
    </row>
    <row r="159">
      <c r="A159" t="inlineStr">
        <is>
          <t>RC00143</t>
        </is>
      </c>
      <c r="B159" t="inlineStr">
        <is>
          <t>外交学院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2</v>
      </c>
      <c r="K159" t="n">
        <v>0</v>
      </c>
      <c r="L159" t="n">
        <v>1</v>
      </c>
      <c r="M159" t="n">
        <v>1276.003643035132</v>
      </c>
      <c r="N159" t="n">
        <v>13.26084798259245</v>
      </c>
      <c r="O159">
        <f>IF(N159=0, 0, M159/N159)</f>
        <v/>
      </c>
      <c r="P159">
        <f>RANK(O159, O$2:O$518, 0)</f>
        <v/>
      </c>
      <c r="Q159">
        <f>SUM(C159,F159)</f>
        <v/>
      </c>
      <c r="R159">
        <f>SUM(Q159,G159,H159,D159,E159)</f>
        <v/>
      </c>
      <c r="S159">
        <f>SUM(R159,I159,J159,K159,L159)</f>
        <v/>
      </c>
      <c r="T159">
        <f>IF(R159=0, -1, Q159/R159)</f>
        <v/>
      </c>
      <c r="U159">
        <f>IF(S159=0, -1, Q159/S159)</f>
        <v/>
      </c>
      <c r="V159">
        <f>IF(S159=0, -1, R159/S159)</f>
        <v/>
      </c>
    </row>
    <row r="160">
      <c r="A160" t="inlineStr">
        <is>
          <t>RC00389</t>
        </is>
      </c>
      <c r="B160" t="inlineStr">
        <is>
          <t>中国计量大学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2</v>
      </c>
      <c r="J160" t="n">
        <v>2</v>
      </c>
      <c r="K160" t="n">
        <v>1</v>
      </c>
      <c r="L160" t="n">
        <v>2</v>
      </c>
      <c r="M160" t="n">
        <v>3771.77166528337</v>
      </c>
      <c r="N160" t="n">
        <v>31.26750570705623</v>
      </c>
      <c r="O160">
        <f>IF(N160=0, 0, M160/N160)</f>
        <v/>
      </c>
      <c r="P160">
        <f>RANK(O160, O$2:O$518, 0)</f>
        <v/>
      </c>
      <c r="Q160">
        <f>SUM(C160,F160)</f>
        <v/>
      </c>
      <c r="R160">
        <f>SUM(Q160,G160,H160,D160,E160)</f>
        <v/>
      </c>
      <c r="S160">
        <f>SUM(R160,I160,J160,K160,L160)</f>
        <v/>
      </c>
      <c r="T160">
        <f>IF(R160=0, -1, Q160/R160)</f>
        <v/>
      </c>
      <c r="U160">
        <f>IF(S160=0, -1, Q160/S160)</f>
        <v/>
      </c>
      <c r="V160">
        <f>IF(S160=0, -1, R160/S160)</f>
        <v/>
      </c>
    </row>
    <row r="161">
      <c r="A161" t="inlineStr">
        <is>
          <t>RC00492</t>
        </is>
      </c>
      <c r="B161" t="inlineStr">
        <is>
          <t>烟台大学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3</v>
      </c>
      <c r="L161" t="n">
        <v>3</v>
      </c>
      <c r="M161" t="n">
        <v>1258.511324203865</v>
      </c>
      <c r="N161" t="n">
        <v>28.65877920522752</v>
      </c>
      <c r="O161">
        <f>IF(N161=0, 0, M161/N161)</f>
        <v/>
      </c>
      <c r="P161">
        <f>RANK(O161, O$2:O$518, 0)</f>
        <v/>
      </c>
      <c r="Q161">
        <f>SUM(C161,F161)</f>
        <v/>
      </c>
      <c r="R161">
        <f>SUM(Q161,G161,H161,D161,E161)</f>
        <v/>
      </c>
      <c r="S161">
        <f>SUM(R161,I161,J161,K161,L161)</f>
        <v/>
      </c>
      <c r="T161">
        <f>IF(R161=0, -1, Q161/R161)</f>
        <v/>
      </c>
      <c r="U161">
        <f>IF(S161=0, -1, Q161/S161)</f>
        <v/>
      </c>
      <c r="V161">
        <f>IF(S161=0, -1, R161/S161)</f>
        <v/>
      </c>
    </row>
    <row r="162">
      <c r="A162" t="inlineStr">
        <is>
          <t>RC00264</t>
        </is>
      </c>
      <c r="B162" t="inlineStr">
        <is>
          <t>沈阳师范大学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1</v>
      </c>
      <c r="J162" t="n">
        <v>0</v>
      </c>
      <c r="K162" t="n">
        <v>2</v>
      </c>
      <c r="L162" t="n">
        <v>0</v>
      </c>
      <c r="M162" t="n">
        <v>1095.854006917756</v>
      </c>
      <c r="N162" t="n">
        <v>14.38931323441024</v>
      </c>
      <c r="O162">
        <f>IF(N162=0, 0, M162/N162)</f>
        <v/>
      </c>
      <c r="P162">
        <f>RANK(O162, O$2:O$518, 0)</f>
        <v/>
      </c>
      <c r="Q162">
        <f>SUM(C162,F162)</f>
        <v/>
      </c>
      <c r="R162">
        <f>SUM(Q162,G162,H162,D162,E162)</f>
        <v/>
      </c>
      <c r="S162">
        <f>SUM(R162,I162,J162,K162,L162)</f>
        <v/>
      </c>
      <c r="T162">
        <f>IF(R162=0, -1, Q162/R162)</f>
        <v/>
      </c>
      <c r="U162">
        <f>IF(S162=0, -1, Q162/S162)</f>
        <v/>
      </c>
      <c r="V162">
        <f>IF(S162=0, -1, R162/S162)</f>
        <v/>
      </c>
    </row>
    <row r="163">
      <c r="A163" t="inlineStr">
        <is>
          <t>RC00125</t>
        </is>
      </c>
      <c r="B163" t="inlineStr">
        <is>
          <t>昆明理工大学</t>
        </is>
      </c>
      <c r="C163" t="n">
        <v>0</v>
      </c>
      <c r="D163" t="n">
        <v>0</v>
      </c>
      <c r="E163" t="n">
        <v>1</v>
      </c>
      <c r="F163" t="n">
        <v>0</v>
      </c>
      <c r="G163" t="n">
        <v>0</v>
      </c>
      <c r="H163" t="n">
        <v>1</v>
      </c>
      <c r="I163" t="n">
        <v>0</v>
      </c>
      <c r="J163" t="n">
        <v>5</v>
      </c>
      <c r="K163" t="n">
        <v>7</v>
      </c>
      <c r="L163" t="n">
        <v>8</v>
      </c>
      <c r="M163" t="n">
        <v>8629.05285139618</v>
      </c>
      <c r="N163" t="n">
        <v>95.17045395869543</v>
      </c>
      <c r="O163">
        <f>IF(N163=0, 0, M163/N163)</f>
        <v/>
      </c>
      <c r="P163">
        <f>RANK(O163, O$2:O$518, 0)</f>
        <v/>
      </c>
      <c r="Q163">
        <f>SUM(C163,F163)</f>
        <v/>
      </c>
      <c r="R163">
        <f>SUM(Q163,G163,H163,D163,E163)</f>
        <v/>
      </c>
      <c r="S163">
        <f>SUM(R163,I163,J163,K163,L163)</f>
        <v/>
      </c>
      <c r="T163">
        <f>IF(R163=0, -1, Q163/R163)</f>
        <v/>
      </c>
      <c r="U163">
        <f>IF(S163=0, -1, Q163/S163)</f>
        <v/>
      </c>
      <c r="V163">
        <f>IF(S163=0, -1, R163/S163)</f>
        <v/>
      </c>
    </row>
    <row r="164">
      <c r="A164" t="inlineStr">
        <is>
          <t>RC00627</t>
        </is>
      </c>
      <c r="B164" t="inlineStr">
        <is>
          <t>广西师范大学</t>
        </is>
      </c>
      <c r="C164" t="n">
        <v>0</v>
      </c>
      <c r="D164" t="n">
        <v>0</v>
      </c>
      <c r="E164" t="n">
        <v>0</v>
      </c>
      <c r="F164" t="n">
        <v>0</v>
      </c>
      <c r="G164" t="n">
        <v>1</v>
      </c>
      <c r="H164" t="n">
        <v>1</v>
      </c>
      <c r="I164" t="n">
        <v>2</v>
      </c>
      <c r="J164" t="n">
        <v>2</v>
      </c>
      <c r="K164" t="n">
        <v>6</v>
      </c>
      <c r="L164" t="n">
        <v>9</v>
      </c>
      <c r="M164" t="n">
        <v>8966.398483134382</v>
      </c>
      <c r="N164" t="n">
        <v>95.03952645944966</v>
      </c>
      <c r="O164">
        <f>IF(N164=0, 0, M164/N164)</f>
        <v/>
      </c>
      <c r="P164">
        <f>RANK(O164, O$2:O$518, 0)</f>
        <v/>
      </c>
      <c r="Q164">
        <f>SUM(C164,F164)</f>
        <v/>
      </c>
      <c r="R164">
        <f>SUM(Q164,G164,H164,D164,E164)</f>
        <v/>
      </c>
      <c r="S164">
        <f>SUM(R164,I164,J164,K164,L164)</f>
        <v/>
      </c>
      <c r="T164">
        <f>IF(R164=0, -1, Q164/R164)</f>
        <v/>
      </c>
      <c r="U164">
        <f>IF(S164=0, -1, Q164/S164)</f>
        <v/>
      </c>
      <c r="V164">
        <f>IF(S164=0, -1, R164/S164)</f>
        <v/>
      </c>
    </row>
    <row r="165">
      <c r="A165" t="inlineStr">
        <is>
          <t>RC00766</t>
        </is>
      </c>
      <c r="B165" t="inlineStr">
        <is>
          <t>甘肃政法大学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79.10622186600303</v>
      </c>
      <c r="N165" t="n">
        <v>4.727387818712341</v>
      </c>
      <c r="O165">
        <f>IF(N165=0, 0, M165/N165)</f>
        <v/>
      </c>
      <c r="P165">
        <f>RANK(O165, O$2:O$518, 0)</f>
        <v/>
      </c>
      <c r="Q165">
        <f>SUM(C165,F165)</f>
        <v/>
      </c>
      <c r="R165">
        <f>SUM(Q165,G165,H165,D165,E165)</f>
        <v/>
      </c>
      <c r="S165">
        <f>SUM(R165,I165,J165,K165,L165)</f>
        <v/>
      </c>
      <c r="T165">
        <f>IF(R165=0, -1, Q165/R165)</f>
        <v/>
      </c>
      <c r="U165">
        <f>IF(S165=0, -1, Q165/S165)</f>
        <v/>
      </c>
      <c r="V165">
        <f>IF(S165=0, -1, R165/S165)</f>
        <v/>
      </c>
    </row>
    <row r="166">
      <c r="A166" t="inlineStr">
        <is>
          <t>RC00231</t>
        </is>
      </c>
      <c r="B166" t="inlineStr">
        <is>
          <t>内蒙古大学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3</v>
      </c>
      <c r="J166" t="n">
        <v>2</v>
      </c>
      <c r="K166" t="n">
        <v>6</v>
      </c>
      <c r="L166" t="n">
        <v>3</v>
      </c>
      <c r="M166" t="n">
        <v>6758.153429204954</v>
      </c>
      <c r="N166" t="n">
        <v>61.81497894983265</v>
      </c>
      <c r="O166">
        <f>IF(N166=0, 0, M166/N166)</f>
        <v/>
      </c>
      <c r="P166">
        <f>RANK(O166, O$2:O$518, 0)</f>
        <v/>
      </c>
      <c r="Q166">
        <f>SUM(C166,F166)</f>
        <v/>
      </c>
      <c r="R166">
        <f>SUM(Q166,G166,H166,D166,E166)</f>
        <v/>
      </c>
      <c r="S166">
        <f>SUM(R166,I166,J166,K166,L166)</f>
        <v/>
      </c>
      <c r="T166">
        <f>IF(R166=0, -1, Q166/R166)</f>
        <v/>
      </c>
      <c r="U166">
        <f>IF(S166=0, -1, Q166/S166)</f>
        <v/>
      </c>
      <c r="V166">
        <f>IF(S166=0, -1, R166/S166)</f>
        <v/>
      </c>
    </row>
    <row r="167">
      <c r="A167" t="inlineStr">
        <is>
          <t>RC00384</t>
        </is>
      </c>
      <c r="B167" t="inlineStr">
        <is>
          <t>温州大学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2</v>
      </c>
      <c r="J167" t="n">
        <v>3</v>
      </c>
      <c r="K167" t="n">
        <v>4</v>
      </c>
      <c r="L167" t="n">
        <v>6</v>
      </c>
      <c r="M167" t="n">
        <v>5511.488969842262</v>
      </c>
      <c r="N167" t="n">
        <v>68.22544660452557</v>
      </c>
      <c r="O167">
        <f>IF(N167=0, 0, M167/N167)</f>
        <v/>
      </c>
      <c r="P167">
        <f>RANK(O167, O$2:O$518, 0)</f>
        <v/>
      </c>
      <c r="Q167">
        <f>SUM(C167,F167)</f>
        <v/>
      </c>
      <c r="R167">
        <f>SUM(Q167,G167,H167,D167,E167)</f>
        <v/>
      </c>
      <c r="S167">
        <f>SUM(R167,I167,J167,K167,L167)</f>
        <v/>
      </c>
      <c r="T167">
        <f>IF(R167=0, -1, Q167/R167)</f>
        <v/>
      </c>
      <c r="U167">
        <f>IF(S167=0, -1, Q167/S167)</f>
        <v/>
      </c>
      <c r="V167">
        <f>IF(S167=0, -1, R167/S167)</f>
        <v/>
      </c>
    </row>
    <row r="168">
      <c r="A168" t="inlineStr">
        <is>
          <t>RC00551</t>
        </is>
      </c>
      <c r="B168" t="inlineStr">
        <is>
          <t>中南民族大学</t>
        </is>
      </c>
      <c r="C168" t="n">
        <v>1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2</v>
      </c>
      <c r="J168" t="n">
        <v>2</v>
      </c>
      <c r="K168" t="n">
        <v>1</v>
      </c>
      <c r="L168" t="n">
        <v>6</v>
      </c>
      <c r="M168" t="n">
        <v>5940.54363275639</v>
      </c>
      <c r="N168" t="n">
        <v>52.35107894192871</v>
      </c>
      <c r="O168">
        <f>IF(N168=0, 0, M168/N168)</f>
        <v/>
      </c>
      <c r="P168">
        <f>RANK(O168, O$2:O$518, 0)</f>
        <v/>
      </c>
      <c r="Q168">
        <f>SUM(C168,F168)</f>
        <v/>
      </c>
      <c r="R168">
        <f>SUM(Q168,G168,H168,D168,E168)</f>
        <v/>
      </c>
      <c r="S168">
        <f>SUM(R168,I168,J168,K168,L168)</f>
        <v/>
      </c>
      <c r="T168">
        <f>IF(R168=0, -1, Q168/R168)</f>
        <v/>
      </c>
      <c r="U168">
        <f>IF(S168=0, -1, Q168/S168)</f>
        <v/>
      </c>
      <c r="V168">
        <f>IF(S168=0, -1, R168/S168)</f>
        <v/>
      </c>
    </row>
    <row r="169">
      <c r="A169" t="inlineStr">
        <is>
          <t>RC00328</t>
        </is>
      </c>
      <c r="B169" t="inlineStr">
        <is>
          <t>上海海事大学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2</v>
      </c>
      <c r="K169" t="n">
        <v>1</v>
      </c>
      <c r="L169" t="n">
        <v>3</v>
      </c>
      <c r="M169" t="n">
        <v>1713.863369414171</v>
      </c>
      <c r="N169" t="n">
        <v>25.84955218423126</v>
      </c>
      <c r="O169">
        <f>IF(N169=0, 0, M169/N169)</f>
        <v/>
      </c>
      <c r="P169">
        <f>RANK(O169, O$2:O$518, 0)</f>
        <v/>
      </c>
      <c r="Q169">
        <f>SUM(C169,F169)</f>
        <v/>
      </c>
      <c r="R169">
        <f>SUM(Q169,G169,H169,D169,E169)</f>
        <v/>
      </c>
      <c r="S169">
        <f>SUM(R169,I169,J169,K169,L169)</f>
        <v/>
      </c>
      <c r="T169">
        <f>IF(R169=0, -1, Q169/R169)</f>
        <v/>
      </c>
      <c r="U169">
        <f>IF(S169=0, -1, Q169/S169)</f>
        <v/>
      </c>
      <c r="V169">
        <f>IF(S169=0, -1, R169/S169)</f>
        <v/>
      </c>
    </row>
    <row r="170">
      <c r="A170" t="inlineStr">
        <is>
          <t>RC00380</t>
        </is>
      </c>
      <c r="B170" t="inlineStr">
        <is>
          <t>浙江师范大学</t>
        </is>
      </c>
      <c r="C170" t="n">
        <v>1</v>
      </c>
      <c r="D170" t="n">
        <v>0</v>
      </c>
      <c r="E170" t="n">
        <v>0</v>
      </c>
      <c r="F170" t="n">
        <v>0</v>
      </c>
      <c r="G170" t="n">
        <v>1</v>
      </c>
      <c r="H170" t="n">
        <v>3</v>
      </c>
      <c r="I170" t="n">
        <v>2</v>
      </c>
      <c r="J170" t="n">
        <v>4</v>
      </c>
      <c r="K170" t="n">
        <v>3</v>
      </c>
      <c r="L170" t="n">
        <v>5</v>
      </c>
      <c r="M170" t="n">
        <v>13408.48466029725</v>
      </c>
      <c r="N170" t="n">
        <v>85.12421608569787</v>
      </c>
      <c r="O170">
        <f>IF(N170=0, 0, M170/N170)</f>
        <v/>
      </c>
      <c r="P170">
        <f>RANK(O170, O$2:O$518, 0)</f>
        <v/>
      </c>
      <c r="Q170">
        <f>SUM(C170,F170)</f>
        <v/>
      </c>
      <c r="R170">
        <f>SUM(Q170,G170,H170,D170,E170)</f>
        <v/>
      </c>
      <c r="S170">
        <f>SUM(R170,I170,J170,K170,L170)</f>
        <v/>
      </c>
      <c r="T170">
        <f>IF(R170=0, -1, Q170/R170)</f>
        <v/>
      </c>
      <c r="U170">
        <f>IF(S170=0, -1, Q170/S170)</f>
        <v/>
      </c>
      <c r="V170">
        <f>IF(S170=0, -1, R170/S170)</f>
        <v/>
      </c>
    </row>
    <row r="171">
      <c r="A171" t="inlineStr">
        <is>
          <t>RC00067</t>
        </is>
      </c>
      <c r="B171" t="inlineStr">
        <is>
          <t>中国石油大学（华东）</t>
        </is>
      </c>
      <c r="C171" t="n">
        <v>2</v>
      </c>
      <c r="D171" t="n">
        <v>0</v>
      </c>
      <c r="E171" t="n">
        <v>0</v>
      </c>
      <c r="F171" t="n">
        <v>0</v>
      </c>
      <c r="G171" t="n">
        <v>0</v>
      </c>
      <c r="H171" t="n">
        <v>1</v>
      </c>
      <c r="I171" t="n">
        <v>2</v>
      </c>
      <c r="J171" t="n">
        <v>5</v>
      </c>
      <c r="K171" t="n">
        <v>5</v>
      </c>
      <c r="L171" t="n">
        <v>4</v>
      </c>
      <c r="M171" t="n">
        <v>10736.30267319966</v>
      </c>
      <c r="N171" t="n">
        <v>82.37848838374724</v>
      </c>
      <c r="O171">
        <f>IF(N171=0, 0, M171/N171)</f>
        <v/>
      </c>
      <c r="P171">
        <f>RANK(O171, O$2:O$518, 0)</f>
        <v/>
      </c>
      <c r="Q171">
        <f>SUM(C171,F171)</f>
        <v/>
      </c>
      <c r="R171">
        <f>SUM(Q171,G171,H171,D171,E171)</f>
        <v/>
      </c>
      <c r="S171">
        <f>SUM(R171,I171,J171,K171,L171)</f>
        <v/>
      </c>
      <c r="T171">
        <f>IF(R171=0, -1, Q171/R171)</f>
        <v/>
      </c>
      <c r="U171">
        <f>IF(S171=0, -1, Q171/S171)</f>
        <v/>
      </c>
      <c r="V171">
        <f>IF(S171=0, -1, R171/S171)</f>
        <v/>
      </c>
    </row>
    <row r="172">
      <c r="A172" t="inlineStr">
        <is>
          <t>RC00170</t>
        </is>
      </c>
      <c r="B172" t="inlineStr">
        <is>
          <t>天津师范大学</t>
        </is>
      </c>
      <c r="C172" t="n">
        <v>0</v>
      </c>
      <c r="D172" t="n">
        <v>0</v>
      </c>
      <c r="E172" t="n">
        <v>0</v>
      </c>
      <c r="F172" t="n">
        <v>0</v>
      </c>
      <c r="G172" t="n">
        <v>1</v>
      </c>
      <c r="H172" t="n">
        <v>1</v>
      </c>
      <c r="I172" t="n">
        <v>2</v>
      </c>
      <c r="J172" t="n">
        <v>2</v>
      </c>
      <c r="K172" t="n">
        <v>5</v>
      </c>
      <c r="L172" t="n">
        <v>3</v>
      </c>
      <c r="M172" t="n">
        <v>8385.252533255425</v>
      </c>
      <c r="N172" t="n">
        <v>60.01389565604911</v>
      </c>
      <c r="O172">
        <f>IF(N172=0, 0, M172/N172)</f>
        <v/>
      </c>
      <c r="P172">
        <f>RANK(O172, O$2:O$518, 0)</f>
        <v/>
      </c>
      <c r="Q172">
        <f>SUM(C172,F172)</f>
        <v/>
      </c>
      <c r="R172">
        <f>SUM(Q172,G172,H172,D172,E172)</f>
        <v/>
      </c>
      <c r="S172">
        <f>SUM(R172,I172,J172,K172,L172)</f>
        <v/>
      </c>
      <c r="T172">
        <f>IF(R172=0, -1, Q172/R172)</f>
        <v/>
      </c>
      <c r="U172">
        <f>IF(S172=0, -1, Q172/S172)</f>
        <v/>
      </c>
      <c r="V172">
        <f>IF(S172=0, -1, R172/S172)</f>
        <v/>
      </c>
    </row>
    <row r="173">
      <c r="A173" t="inlineStr">
        <is>
          <t>RC00334</t>
        </is>
      </c>
      <c r="B173" t="inlineStr">
        <is>
          <t>上海外国语大学</t>
        </is>
      </c>
      <c r="C173" t="n">
        <v>0</v>
      </c>
      <c r="D173" t="n">
        <v>0</v>
      </c>
      <c r="E173" t="n">
        <v>0</v>
      </c>
      <c r="F173" t="n">
        <v>1</v>
      </c>
      <c r="G173" t="n">
        <v>0</v>
      </c>
      <c r="H173" t="n">
        <v>0</v>
      </c>
      <c r="I173" t="n">
        <v>1</v>
      </c>
      <c r="J173" t="n">
        <v>4</v>
      </c>
      <c r="K173" t="n">
        <v>0</v>
      </c>
      <c r="L173" t="n">
        <v>0</v>
      </c>
      <c r="M173" t="n">
        <v>8593.65654395712</v>
      </c>
      <c r="N173" t="n">
        <v>25.51429385971351</v>
      </c>
      <c r="O173">
        <f>IF(N173=0, 0, M173/N173)</f>
        <v/>
      </c>
      <c r="P173">
        <f>RANK(O173, O$2:O$518, 0)</f>
        <v/>
      </c>
      <c r="Q173">
        <f>SUM(C173,F173)</f>
        <v/>
      </c>
      <c r="R173">
        <f>SUM(Q173,G173,H173,D173,E173)</f>
        <v/>
      </c>
      <c r="S173">
        <f>SUM(R173,I173,J173,K173,L173)</f>
        <v/>
      </c>
      <c r="T173">
        <f>IF(R173=0, -1, Q173/R173)</f>
        <v/>
      </c>
      <c r="U173">
        <f>IF(S173=0, -1, Q173/S173)</f>
        <v/>
      </c>
      <c r="V173">
        <f>IF(S173=0, -1, R173/S173)</f>
        <v/>
      </c>
    </row>
    <row r="174">
      <c r="A174" t="inlineStr">
        <is>
          <t>RC00691</t>
        </is>
      </c>
      <c r="B174" t="inlineStr">
        <is>
          <t>贵州师范大学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2</v>
      </c>
      <c r="J174" t="n">
        <v>2</v>
      </c>
      <c r="K174" t="n">
        <v>3</v>
      </c>
      <c r="L174" t="n">
        <v>2</v>
      </c>
      <c r="M174" t="n">
        <v>4220.066028279109</v>
      </c>
      <c r="N174" t="n">
        <v>39.38938160358128</v>
      </c>
      <c r="O174">
        <f>IF(N174=0, 0, M174/N174)</f>
        <v/>
      </c>
      <c r="P174">
        <f>RANK(O174, O$2:O$518, 0)</f>
        <v/>
      </c>
      <c r="Q174">
        <f>SUM(C174,F174)</f>
        <v/>
      </c>
      <c r="R174">
        <f>SUM(Q174,G174,H174,D174,E174)</f>
        <v/>
      </c>
      <c r="S174">
        <f>SUM(R174,I174,J174,K174,L174)</f>
        <v/>
      </c>
      <c r="T174">
        <f>IF(R174=0, -1, Q174/R174)</f>
        <v/>
      </c>
      <c r="U174">
        <f>IF(S174=0, -1, Q174/S174)</f>
        <v/>
      </c>
      <c r="V174">
        <f>IF(S174=0, -1, R174/S174)</f>
        <v/>
      </c>
    </row>
    <row r="175">
      <c r="A175" t="inlineStr">
        <is>
          <t>RC01288</t>
        </is>
      </c>
      <c r="B175" t="inlineStr">
        <is>
          <t>中国人民解放军国防大学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2</v>
      </c>
      <c r="L175" t="n">
        <v>0</v>
      </c>
      <c r="M175" t="n">
        <v>933.2642534655052</v>
      </c>
      <c r="N175" t="n">
        <v>9.055789612127585</v>
      </c>
      <c r="O175">
        <f>IF(N175=0, 0, M175/N175)</f>
        <v/>
      </c>
      <c r="P175">
        <f>RANK(O175, O$2:O$518, 0)</f>
        <v/>
      </c>
      <c r="Q175">
        <f>SUM(C175,F175)</f>
        <v/>
      </c>
      <c r="R175">
        <f>SUM(Q175,G175,H175,D175,E175)</f>
        <v/>
      </c>
      <c r="S175">
        <f>SUM(R175,I175,J175,K175,L175)</f>
        <v/>
      </c>
      <c r="T175">
        <f>IF(R175=0, -1, Q175/R175)</f>
        <v/>
      </c>
      <c r="U175">
        <f>IF(S175=0, -1, Q175/S175)</f>
        <v/>
      </c>
      <c r="V175">
        <f>IF(S175=0, -1, R175/S175)</f>
        <v/>
      </c>
    </row>
    <row r="176">
      <c r="A176" t="inlineStr">
        <is>
          <t>RC00135</t>
        </is>
      </c>
      <c r="B176" t="inlineStr">
        <is>
          <t>北京外国语大学</t>
        </is>
      </c>
      <c r="C176" t="n">
        <v>0</v>
      </c>
      <c r="D176" t="n">
        <v>0</v>
      </c>
      <c r="E176" t="n">
        <v>0</v>
      </c>
      <c r="F176" t="n">
        <v>1</v>
      </c>
      <c r="G176" t="n">
        <v>0</v>
      </c>
      <c r="H176" t="n">
        <v>1</v>
      </c>
      <c r="I176" t="n">
        <v>0</v>
      </c>
      <c r="J176" t="n">
        <v>0</v>
      </c>
      <c r="K176" t="n">
        <v>2</v>
      </c>
      <c r="L176" t="n">
        <v>3</v>
      </c>
      <c r="M176" t="n">
        <v>8516.832003134708</v>
      </c>
      <c r="N176" t="n">
        <v>29.8580992815672</v>
      </c>
      <c r="O176">
        <f>IF(N176=0, 0, M176/N176)</f>
        <v/>
      </c>
      <c r="P176">
        <f>RANK(O176, O$2:O$518, 0)</f>
        <v/>
      </c>
      <c r="Q176">
        <f>SUM(C176,F176)</f>
        <v/>
      </c>
      <c r="R176">
        <f>SUM(Q176,G176,H176,D176,E176)</f>
        <v/>
      </c>
      <c r="S176">
        <f>SUM(R176,I176,J176,K176,L176)</f>
        <v/>
      </c>
      <c r="T176">
        <f>IF(R176=0, -1, Q176/R176)</f>
        <v/>
      </c>
      <c r="U176">
        <f>IF(S176=0, -1, Q176/S176)</f>
        <v/>
      </c>
      <c r="V176">
        <f>IF(S176=0, -1, R176/S176)</f>
        <v/>
      </c>
    </row>
    <row r="177">
      <c r="A177" t="inlineStr">
        <is>
          <t>RC00633</t>
        </is>
      </c>
      <c r="B177" t="inlineStr">
        <is>
          <t>广西民族大学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1</v>
      </c>
      <c r="J177" t="n">
        <v>0</v>
      </c>
      <c r="K177" t="n">
        <v>2</v>
      </c>
      <c r="L177" t="n">
        <v>4</v>
      </c>
      <c r="M177" t="n">
        <v>3218.972880225463</v>
      </c>
      <c r="N177" t="n">
        <v>30.97357733785817</v>
      </c>
      <c r="O177">
        <f>IF(N177=0, 0, M177/N177)</f>
        <v/>
      </c>
      <c r="P177">
        <f>RANK(O177, O$2:O$518, 0)</f>
        <v/>
      </c>
      <c r="Q177">
        <f>SUM(C177,F177)</f>
        <v/>
      </c>
      <c r="R177">
        <f>SUM(Q177,G177,H177,D177,E177)</f>
        <v/>
      </c>
      <c r="S177">
        <f>SUM(R177,I177,J177,K177,L177)</f>
        <v/>
      </c>
      <c r="T177">
        <f>IF(R177=0, -1, Q177/R177)</f>
        <v/>
      </c>
      <c r="U177">
        <f>IF(S177=0, -1, Q177/S177)</f>
        <v/>
      </c>
      <c r="V177">
        <f>IF(S177=0, -1, R177/S177)</f>
        <v/>
      </c>
    </row>
    <row r="178">
      <c r="A178" t="inlineStr">
        <is>
          <t>RC00281</t>
        </is>
      </c>
      <c r="B178" t="inlineStr">
        <is>
          <t>延边大学</t>
        </is>
      </c>
      <c r="C178" t="n">
        <v>0</v>
      </c>
      <c r="D178" t="n">
        <v>0</v>
      </c>
      <c r="E178" t="n">
        <v>0</v>
      </c>
      <c r="F178" t="n">
        <v>0</v>
      </c>
      <c r="G178" t="n">
        <v>1</v>
      </c>
      <c r="H178" t="n">
        <v>0</v>
      </c>
      <c r="I178" t="n">
        <v>0</v>
      </c>
      <c r="J178" t="n">
        <v>1</v>
      </c>
      <c r="K178" t="n">
        <v>2</v>
      </c>
      <c r="L178" t="n">
        <v>6</v>
      </c>
      <c r="M178" t="n">
        <v>4114.986574459957</v>
      </c>
      <c r="N178" t="n">
        <v>40.05309539400028</v>
      </c>
      <c r="O178">
        <f>IF(N178=0, 0, M178/N178)</f>
        <v/>
      </c>
      <c r="P178">
        <f>RANK(O178, O$2:O$518, 0)</f>
        <v/>
      </c>
      <c r="Q178">
        <f>SUM(C178,F178)</f>
        <v/>
      </c>
      <c r="R178">
        <f>SUM(Q178,G178,H178,D178,E178)</f>
        <v/>
      </c>
      <c r="S178">
        <f>SUM(R178,I178,J178,K178,L178)</f>
        <v/>
      </c>
      <c r="T178">
        <f>IF(R178=0, -1, Q178/R178)</f>
        <v/>
      </c>
      <c r="U178">
        <f>IF(S178=0, -1, Q178/S178)</f>
        <v/>
      </c>
      <c r="V178">
        <f>IF(S178=0, -1, R178/S178)</f>
        <v/>
      </c>
    </row>
    <row r="179">
      <c r="A179" t="inlineStr">
        <is>
          <t>RC00718</t>
        </is>
      </c>
      <c r="B179" t="inlineStr">
        <is>
          <t>云南民族大学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1</v>
      </c>
      <c r="J179" t="n">
        <v>1</v>
      </c>
      <c r="K179" t="n">
        <v>2</v>
      </c>
      <c r="L179" t="n">
        <v>2</v>
      </c>
      <c r="M179" t="n">
        <v>3405.482770374097</v>
      </c>
      <c r="N179" t="n">
        <v>25.09800875363262</v>
      </c>
      <c r="O179">
        <f>IF(N179=0, 0, M179/N179)</f>
        <v/>
      </c>
      <c r="P179">
        <f>RANK(O179, O$2:O$518, 0)</f>
        <v/>
      </c>
      <c r="Q179">
        <f>SUM(C179,F179)</f>
        <v/>
      </c>
      <c r="R179">
        <f>SUM(Q179,G179,H179,D179,E179)</f>
        <v/>
      </c>
      <c r="S179">
        <f>SUM(R179,I179,J179,K179,L179)</f>
        <v/>
      </c>
      <c r="T179">
        <f>IF(R179=0, -1, Q179/R179)</f>
        <v/>
      </c>
      <c r="U179">
        <f>IF(S179=0, -1, Q179/S179)</f>
        <v/>
      </c>
      <c r="V179">
        <f>IF(S179=0, -1, R179/S179)</f>
        <v/>
      </c>
    </row>
    <row r="180">
      <c r="A180" t="inlineStr">
        <is>
          <t>RC00700</t>
        </is>
      </c>
      <c r="B180" t="inlineStr">
        <is>
          <t>贵州民族大学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2</v>
      </c>
      <c r="K180" t="n">
        <v>1</v>
      </c>
      <c r="L180" t="n">
        <v>2</v>
      </c>
      <c r="M180" t="n">
        <v>2400.855585316912</v>
      </c>
      <c r="N180" t="n">
        <v>20.04963653726388</v>
      </c>
      <c r="O180">
        <f>IF(N180=0, 0, M180/N180)</f>
        <v/>
      </c>
      <c r="P180">
        <f>RANK(O180, O$2:O$518, 0)</f>
        <v/>
      </c>
      <c r="Q180">
        <f>SUM(C180,F180)</f>
        <v/>
      </c>
      <c r="R180">
        <f>SUM(Q180,G180,H180,D180,E180)</f>
        <v/>
      </c>
      <c r="S180">
        <f>SUM(R180,I180,J180,K180,L180)</f>
        <v/>
      </c>
      <c r="T180">
        <f>IF(R180=0, -1, Q180/R180)</f>
        <v/>
      </c>
      <c r="U180">
        <f>IF(S180=0, -1, Q180/S180)</f>
        <v/>
      </c>
      <c r="V180">
        <f>IF(S180=0, -1, R180/S180)</f>
        <v/>
      </c>
    </row>
    <row r="181">
      <c r="A181" t="inlineStr">
        <is>
          <t>RC00041</t>
        </is>
      </c>
      <c r="B181" t="inlineStr">
        <is>
          <t>哈尔滨工程大学</t>
        </is>
      </c>
      <c r="C181" t="n">
        <v>1</v>
      </c>
      <c r="D181" t="n">
        <v>0</v>
      </c>
      <c r="E181" t="n">
        <v>1</v>
      </c>
      <c r="F181" t="n">
        <v>0</v>
      </c>
      <c r="G181" t="n">
        <v>1</v>
      </c>
      <c r="H181" t="n">
        <v>0</v>
      </c>
      <c r="I181" t="n">
        <v>5</v>
      </c>
      <c r="J181" t="n">
        <v>6</v>
      </c>
      <c r="K181" t="n">
        <v>4</v>
      </c>
      <c r="L181" t="n">
        <v>3</v>
      </c>
      <c r="M181" t="n">
        <v>14968.28819707887</v>
      </c>
      <c r="N181" t="n">
        <v>88.18151220367153</v>
      </c>
      <c r="O181">
        <f>IF(N181=0, 0, M181/N181)</f>
        <v/>
      </c>
      <c r="P181">
        <f>RANK(O181, O$2:O$518, 0)</f>
        <v/>
      </c>
      <c r="Q181">
        <f>SUM(C181,F181)</f>
        <v/>
      </c>
      <c r="R181">
        <f>SUM(Q181,G181,H181,D181,E181)</f>
        <v/>
      </c>
      <c r="S181">
        <f>SUM(R181,I181,J181,K181,L181)</f>
        <v/>
      </c>
      <c r="T181">
        <f>IF(R181=0, -1, Q181/R181)</f>
        <v/>
      </c>
      <c r="U181">
        <f>IF(S181=0, -1, Q181/S181)</f>
        <v/>
      </c>
      <c r="V181">
        <f>IF(S181=0, -1, R181/S181)</f>
        <v/>
      </c>
    </row>
    <row r="182">
      <c r="A182" t="inlineStr">
        <is>
          <t>RC00008</t>
        </is>
      </c>
      <c r="B182" t="inlineStr">
        <is>
          <t>哈尔滨工业大学</t>
        </is>
      </c>
      <c r="C182" t="n">
        <v>0</v>
      </c>
      <c r="D182" t="n">
        <v>1</v>
      </c>
      <c r="E182" t="n">
        <v>0</v>
      </c>
      <c r="F182" t="n">
        <v>7</v>
      </c>
      <c r="G182" t="n">
        <v>7</v>
      </c>
      <c r="H182" t="n">
        <v>5</v>
      </c>
      <c r="I182" t="n">
        <v>8</v>
      </c>
      <c r="J182" t="n">
        <v>3</v>
      </c>
      <c r="K182" t="n">
        <v>1</v>
      </c>
      <c r="L182" t="n">
        <v>3</v>
      </c>
      <c r="M182" t="n">
        <v>55651.92948864509</v>
      </c>
      <c r="N182" t="n">
        <v>148.8986679577319</v>
      </c>
      <c r="O182">
        <f>IF(N182=0, 0, M182/N182)</f>
        <v/>
      </c>
      <c r="P182">
        <f>RANK(O182, O$2:O$518, 0)</f>
        <v/>
      </c>
      <c r="Q182">
        <f>SUM(C182,F182)</f>
        <v/>
      </c>
      <c r="R182">
        <f>SUM(Q182,G182,H182,D182,E182)</f>
        <v/>
      </c>
      <c r="S182">
        <f>SUM(R182,I182,J182,K182,L182)</f>
        <v/>
      </c>
      <c r="T182">
        <f>IF(R182=0, -1, Q182/R182)</f>
        <v/>
      </c>
      <c r="U182">
        <f>IF(S182=0, -1, Q182/S182)</f>
        <v/>
      </c>
      <c r="V182">
        <f>IF(S182=0, -1, R182/S182)</f>
        <v/>
      </c>
    </row>
    <row r="183">
      <c r="A183" t="inlineStr">
        <is>
          <t>RC00156</t>
        </is>
      </c>
      <c r="B183" t="inlineStr">
        <is>
          <t>中华女子学院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386.150527113707</v>
      </c>
      <c r="N183" t="n">
        <v>3.828641396489095</v>
      </c>
      <c r="O183">
        <f>IF(N183=0, 0, M183/N183)</f>
        <v/>
      </c>
      <c r="P183">
        <f>RANK(O183, O$2:O$518, 0)</f>
        <v/>
      </c>
      <c r="Q183">
        <f>SUM(C183,F183)</f>
        <v/>
      </c>
      <c r="R183">
        <f>SUM(Q183,G183,H183,D183,E183)</f>
        <v/>
      </c>
      <c r="S183">
        <f>SUM(R183,I183,J183,K183,L183)</f>
        <v/>
      </c>
      <c r="T183">
        <f>IF(R183=0, -1, Q183/R183)</f>
        <v/>
      </c>
      <c r="U183">
        <f>IF(S183=0, -1, Q183/S183)</f>
        <v/>
      </c>
      <c r="V183">
        <f>IF(S183=0, -1, R183/S183)</f>
        <v/>
      </c>
    </row>
    <row r="184">
      <c r="A184" t="inlineStr">
        <is>
          <t>RC00774</t>
        </is>
      </c>
      <c r="B184" t="inlineStr">
        <is>
          <t>宁夏大学</t>
        </is>
      </c>
      <c r="C184" t="n">
        <v>0</v>
      </c>
      <c r="D184" t="n">
        <v>0</v>
      </c>
      <c r="E184" t="n">
        <v>1</v>
      </c>
      <c r="F184" t="n">
        <v>0</v>
      </c>
      <c r="G184" t="n">
        <v>0</v>
      </c>
      <c r="H184" t="n">
        <v>0</v>
      </c>
      <c r="I184" t="n">
        <v>0</v>
      </c>
      <c r="J184" t="n">
        <v>2</v>
      </c>
      <c r="K184" t="n">
        <v>9</v>
      </c>
      <c r="L184" t="n">
        <v>8</v>
      </c>
      <c r="M184" t="n">
        <v>6326.340497130293</v>
      </c>
      <c r="N184" t="n">
        <v>82.12479540265953</v>
      </c>
      <c r="O184">
        <f>IF(N184=0, 0, M184/N184)</f>
        <v/>
      </c>
      <c r="P184">
        <f>RANK(O184, O$2:O$518, 0)</f>
        <v/>
      </c>
      <c r="Q184">
        <f>SUM(C184,F184)</f>
        <v/>
      </c>
      <c r="R184">
        <f>SUM(Q184,G184,H184,D184,E184)</f>
        <v/>
      </c>
      <c r="S184">
        <f>SUM(R184,I184,J184,K184,L184)</f>
        <v/>
      </c>
      <c r="T184">
        <f>IF(R184=0, -1, Q184/R184)</f>
        <v/>
      </c>
      <c r="U184">
        <f>IF(S184=0, -1, Q184/S184)</f>
        <v/>
      </c>
      <c r="V184">
        <f>IF(S184=0, -1, R184/S184)</f>
        <v/>
      </c>
    </row>
    <row r="185">
      <c r="A185" t="inlineStr">
        <is>
          <t>RC00724</t>
        </is>
      </c>
      <c r="B185" t="inlineStr">
        <is>
          <t>西藏大学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4</v>
      </c>
      <c r="K185" t="n">
        <v>1</v>
      </c>
      <c r="L185" t="n">
        <v>3</v>
      </c>
      <c r="M185" t="n">
        <v>3616.798418465172</v>
      </c>
      <c r="N185" t="n">
        <v>33.77891153824273</v>
      </c>
      <c r="O185">
        <f>IF(N185=0, 0, M185/N185)</f>
        <v/>
      </c>
      <c r="P185">
        <f>RANK(O185, O$2:O$518, 0)</f>
        <v/>
      </c>
      <c r="Q185">
        <f>SUM(C185,F185)</f>
        <v/>
      </c>
      <c r="R185">
        <f>SUM(Q185,G185,H185,D185,E185)</f>
        <v/>
      </c>
      <c r="S185">
        <f>SUM(R185,I185,J185,K185,L185)</f>
        <v/>
      </c>
      <c r="T185">
        <f>IF(R185=0, -1, Q185/R185)</f>
        <v/>
      </c>
      <c r="U185">
        <f>IF(S185=0, -1, Q185/S185)</f>
        <v/>
      </c>
      <c r="V185">
        <f>IF(S185=0, -1, R185/S185)</f>
        <v/>
      </c>
    </row>
    <row r="186">
      <c r="A186" t="inlineStr">
        <is>
          <t>RC00558</t>
        </is>
      </c>
      <c r="B186" t="inlineStr">
        <is>
          <t>三峡大学</t>
        </is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1</v>
      </c>
      <c r="J186" t="n">
        <v>2</v>
      </c>
      <c r="K186" t="n">
        <v>1</v>
      </c>
      <c r="L186" t="n">
        <v>6</v>
      </c>
      <c r="M186" t="n">
        <v>3904.062740713837</v>
      </c>
      <c r="N186" t="n">
        <v>44.09659503874217</v>
      </c>
      <c r="O186">
        <f>IF(N186=0, 0, M186/N186)</f>
        <v/>
      </c>
      <c r="P186">
        <f>RANK(O186, O$2:O$518, 0)</f>
        <v/>
      </c>
      <c r="Q186">
        <f>SUM(C186,F186)</f>
        <v/>
      </c>
      <c r="R186">
        <f>SUM(Q186,G186,H186,D186,E186)</f>
        <v/>
      </c>
      <c r="S186">
        <f>SUM(R186,I186,J186,K186,L186)</f>
        <v/>
      </c>
      <c r="T186">
        <f>IF(R186=0, -1, Q186/R186)</f>
        <v/>
      </c>
      <c r="U186">
        <f>IF(S186=0, -1, Q186/S186)</f>
        <v/>
      </c>
      <c r="V186">
        <f>IF(S186=0, -1, R186/S186)</f>
        <v/>
      </c>
    </row>
    <row r="187">
      <c r="A187" t="inlineStr">
        <is>
          <t>RC00772</t>
        </is>
      </c>
      <c r="B187" t="inlineStr">
        <is>
          <t>青海民族大学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3</v>
      </c>
      <c r="L187" t="n">
        <v>0</v>
      </c>
      <c r="M187" t="n">
        <v>1476.956694788297</v>
      </c>
      <c r="N187" t="n">
        <v>12.04660787087915</v>
      </c>
      <c r="O187">
        <f>IF(N187=0, 0, M187/N187)</f>
        <v/>
      </c>
      <c r="P187">
        <f>RANK(O187, O$2:O$518, 0)</f>
        <v/>
      </c>
      <c r="Q187">
        <f>SUM(C187,F187)</f>
        <v/>
      </c>
      <c r="R187">
        <f>SUM(Q187,G187,H187,D187,E187)</f>
        <v/>
      </c>
      <c r="S187">
        <f>SUM(R187,I187,J187,K187,L187)</f>
        <v/>
      </c>
      <c r="T187">
        <f>IF(R187=0, -1, Q187/R187)</f>
        <v/>
      </c>
      <c r="U187">
        <f>IF(S187=0, -1, Q187/S187)</f>
        <v/>
      </c>
      <c r="V187">
        <f>IF(S187=0, -1, R187/S187)</f>
        <v/>
      </c>
    </row>
    <row r="188">
      <c r="A188" t="inlineStr">
        <is>
          <t>RC00279</t>
        </is>
      </c>
      <c r="B188" t="inlineStr">
        <is>
          <t>大连民族大学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1237.714262345403</v>
      </c>
      <c r="N188" t="n">
        <v>5.768320995793772</v>
      </c>
      <c r="O188">
        <f>IF(N188=0, 0, M188/N188)</f>
        <v/>
      </c>
      <c r="P188">
        <f>RANK(O188, O$2:O$518, 0)</f>
        <v/>
      </c>
      <c r="Q188">
        <f>SUM(C188,F188)</f>
        <v/>
      </c>
      <c r="R188">
        <f>SUM(Q188,G188,H188,D188,E188)</f>
        <v/>
      </c>
      <c r="S188">
        <f>SUM(R188,I188,J188,K188,L188)</f>
        <v/>
      </c>
      <c r="T188">
        <f>IF(R188=0, -1, Q188/R188)</f>
        <v/>
      </c>
      <c r="U188">
        <f>IF(S188=0, -1, Q188/S188)</f>
        <v/>
      </c>
      <c r="V188">
        <f>IF(S188=0, -1, R188/S188)</f>
        <v/>
      </c>
    </row>
    <row r="189">
      <c r="A189" t="inlineStr">
        <is>
          <t>RC00773</t>
        </is>
      </c>
      <c r="B189" t="inlineStr">
        <is>
          <t>北方民族大学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3</v>
      </c>
      <c r="L189" t="n">
        <v>3</v>
      </c>
      <c r="M189" t="n">
        <v>1944.942986267082</v>
      </c>
      <c r="N189" t="n">
        <v>27.61959493658176</v>
      </c>
      <c r="O189">
        <f>IF(N189=0, 0, M189/N189)</f>
        <v/>
      </c>
      <c r="P189">
        <f>RANK(O189, O$2:O$518, 0)</f>
        <v/>
      </c>
      <c r="Q189">
        <f>SUM(C189,F189)</f>
        <v/>
      </c>
      <c r="R189">
        <f>SUM(Q189,G189,H189,D189,E189)</f>
        <v/>
      </c>
      <c r="S189">
        <f>SUM(R189,I189,J189,K189,L189)</f>
        <v/>
      </c>
      <c r="T189">
        <f>IF(R189=0, -1, Q189/R189)</f>
        <v/>
      </c>
      <c r="U189">
        <f>IF(S189=0, -1, Q189/S189)</f>
        <v/>
      </c>
      <c r="V189">
        <f>IF(S189=0, -1, R189/S189)</f>
        <v/>
      </c>
    </row>
    <row r="190">
      <c r="A190" t="inlineStr">
        <is>
          <t>RC00725</t>
        </is>
      </c>
      <c r="B190" t="inlineStr">
        <is>
          <t>西藏民族大学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1</v>
      </c>
      <c r="K190" t="n">
        <v>0</v>
      </c>
      <c r="L190" t="n">
        <v>1</v>
      </c>
      <c r="M190" t="n">
        <v>1347.340817025883</v>
      </c>
      <c r="N190" t="n">
        <v>8.313852267398207</v>
      </c>
      <c r="O190">
        <f>IF(N190=0, 0, M190/N190)</f>
        <v/>
      </c>
      <c r="P190">
        <f>RANK(O190, O$2:O$518, 0)</f>
        <v/>
      </c>
      <c r="Q190">
        <f>SUM(C190,F190)</f>
        <v/>
      </c>
      <c r="R190">
        <f>SUM(Q190,G190,H190,D190,E190)</f>
        <v/>
      </c>
      <c r="S190">
        <f>SUM(R190,I190,J190,K190,L190)</f>
        <v/>
      </c>
      <c r="T190">
        <f>IF(R190=0, -1, Q190/R190)</f>
        <v/>
      </c>
      <c r="U190">
        <f>IF(S190=0, -1, Q190/S190)</f>
        <v/>
      </c>
      <c r="V190">
        <f>IF(S190=0, -1, R190/S190)</f>
        <v/>
      </c>
    </row>
    <row r="191">
      <c r="A191" t="inlineStr">
        <is>
          <t>RC00097</t>
        </is>
      </c>
      <c r="B191" t="inlineStr">
        <is>
          <t>西南交通大学</t>
        </is>
      </c>
      <c r="C191" t="n">
        <v>0</v>
      </c>
      <c r="D191" t="n">
        <v>1</v>
      </c>
      <c r="E191" t="n">
        <v>0</v>
      </c>
      <c r="F191" t="n">
        <v>1</v>
      </c>
      <c r="G191" t="n">
        <v>2</v>
      </c>
      <c r="H191" t="n">
        <v>5</v>
      </c>
      <c r="I191" t="n">
        <v>4</v>
      </c>
      <c r="J191" t="n">
        <v>5</v>
      </c>
      <c r="K191" t="n">
        <v>6</v>
      </c>
      <c r="L191" t="n">
        <v>0</v>
      </c>
      <c r="M191" t="n">
        <v>21072.54047053941</v>
      </c>
      <c r="N191" t="n">
        <v>103.0483081997628</v>
      </c>
      <c r="O191">
        <f>IF(N191=0, 0, M191/N191)</f>
        <v/>
      </c>
      <c r="P191">
        <f>RANK(O191, O$2:O$518, 0)</f>
        <v/>
      </c>
      <c r="Q191">
        <f>SUM(C191,F191)</f>
        <v/>
      </c>
      <c r="R191">
        <f>SUM(Q191,G191,H191,D191,E191)</f>
        <v/>
      </c>
      <c r="S191">
        <f>SUM(R191,I191,J191,K191,L191)</f>
        <v/>
      </c>
      <c r="T191">
        <f>IF(R191=0, -1, Q191/R191)</f>
        <v/>
      </c>
      <c r="U191">
        <f>IF(S191=0, -1, Q191/S191)</f>
        <v/>
      </c>
      <c r="V191">
        <f>IF(S191=0, -1, R191/S191)</f>
        <v/>
      </c>
    </row>
    <row r="192">
      <c r="A192" t="inlineStr">
        <is>
          <t>RC00387</t>
        </is>
      </c>
      <c r="B192" t="inlineStr">
        <is>
          <t>嘉兴大学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1599.895637561101</v>
      </c>
      <c r="N192" t="n">
        <v>5.318119993844216</v>
      </c>
      <c r="O192">
        <f>IF(N192=0, 0, M192/N192)</f>
        <v/>
      </c>
      <c r="P192">
        <f>RANK(O192, O$2:O$518, 0)</f>
        <v/>
      </c>
      <c r="Q192">
        <f>SUM(C192,F192)</f>
        <v/>
      </c>
      <c r="R192">
        <f>SUM(Q192,G192,H192,D192,E192)</f>
        <v/>
      </c>
      <c r="S192">
        <f>SUM(R192,I192,J192,K192,L192)</f>
        <v/>
      </c>
      <c r="T192">
        <f>IF(R192=0, -1, Q192/R192)</f>
        <v/>
      </c>
      <c r="U192">
        <f>IF(S192=0, -1, Q192/S192)</f>
        <v/>
      </c>
      <c r="V192">
        <f>IF(S192=0, -1, R192/S192)</f>
        <v/>
      </c>
    </row>
    <row r="193">
      <c r="A193" t="inlineStr">
        <is>
          <t>RC00023</t>
        </is>
      </c>
      <c r="B193" t="inlineStr">
        <is>
          <t>电子科技大学</t>
        </is>
      </c>
      <c r="C193" t="n">
        <v>0</v>
      </c>
      <c r="D193" t="n">
        <v>0</v>
      </c>
      <c r="E193" t="n">
        <v>0</v>
      </c>
      <c r="F193" t="n">
        <v>2</v>
      </c>
      <c r="G193" t="n">
        <v>3</v>
      </c>
      <c r="H193" t="n">
        <v>6</v>
      </c>
      <c r="I193" t="n">
        <v>5</v>
      </c>
      <c r="J193" t="n">
        <v>3</v>
      </c>
      <c r="K193" t="n">
        <v>3</v>
      </c>
      <c r="L193" t="n">
        <v>2</v>
      </c>
      <c r="M193" t="n">
        <v>29271.86585665201</v>
      </c>
      <c r="N193" t="n">
        <v>105.6936255559012</v>
      </c>
      <c r="O193">
        <f>IF(N193=0, 0, M193/N193)</f>
        <v/>
      </c>
      <c r="P193">
        <f>RANK(O193, O$2:O$518, 0)</f>
        <v/>
      </c>
      <c r="Q193">
        <f>SUM(C193,F193)</f>
        <v/>
      </c>
      <c r="R193">
        <f>SUM(Q193,G193,H193,D193,E193)</f>
        <v/>
      </c>
      <c r="S193">
        <f>SUM(R193,I193,J193,K193,L193)</f>
        <v/>
      </c>
      <c r="T193">
        <f>IF(R193=0, -1, Q193/R193)</f>
        <v/>
      </c>
      <c r="U193">
        <f>IF(S193=0, -1, Q193/S193)</f>
        <v/>
      </c>
      <c r="V193">
        <f>IF(S193=0, -1, R193/S193)</f>
        <v/>
      </c>
    </row>
    <row r="194">
      <c r="A194" t="inlineStr">
        <is>
          <t>RC00034</t>
        </is>
      </c>
      <c r="B194" t="inlineStr">
        <is>
          <t>西北工业大学</t>
        </is>
      </c>
      <c r="C194" t="n">
        <v>1</v>
      </c>
      <c r="D194" t="n">
        <v>1</v>
      </c>
      <c r="E194" t="n">
        <v>1</v>
      </c>
      <c r="F194" t="n">
        <v>2</v>
      </c>
      <c r="G194" t="n">
        <v>2</v>
      </c>
      <c r="H194" t="n">
        <v>7</v>
      </c>
      <c r="I194" t="n">
        <v>4</v>
      </c>
      <c r="J194" t="n">
        <v>4</v>
      </c>
      <c r="K194" t="n">
        <v>2</v>
      </c>
      <c r="L194" t="n">
        <v>5</v>
      </c>
      <c r="M194" t="n">
        <v>34153.53217622326</v>
      </c>
      <c r="N194" t="n">
        <v>124.5876497470965</v>
      </c>
      <c r="O194">
        <f>IF(N194=0, 0, M194/N194)</f>
        <v/>
      </c>
      <c r="P194">
        <f>RANK(O194, O$2:O$518, 0)</f>
        <v/>
      </c>
      <c r="Q194">
        <f>SUM(C194,F194)</f>
        <v/>
      </c>
      <c r="R194">
        <f>SUM(Q194,G194,H194,D194,E194)</f>
        <v/>
      </c>
      <c r="S194">
        <f>SUM(R194,I194,J194,K194,L194)</f>
        <v/>
      </c>
      <c r="T194">
        <f>IF(R194=0, -1, Q194/R194)</f>
        <v/>
      </c>
      <c r="U194">
        <f>IF(S194=0, -1, Q194/S194)</f>
        <v/>
      </c>
      <c r="V194">
        <f>IF(S194=0, -1, R194/S194)</f>
        <v/>
      </c>
    </row>
    <row r="195">
      <c r="A195" t="inlineStr">
        <is>
          <t>RC00037</t>
        </is>
      </c>
      <c r="B195" t="inlineStr">
        <is>
          <t>北京科技大学</t>
        </is>
      </c>
      <c r="C195" t="n">
        <v>2</v>
      </c>
      <c r="D195" t="n">
        <v>0</v>
      </c>
      <c r="E195" t="n">
        <v>0</v>
      </c>
      <c r="F195" t="n">
        <v>1</v>
      </c>
      <c r="G195" t="n">
        <v>0</v>
      </c>
      <c r="H195" t="n">
        <v>1</v>
      </c>
      <c r="I195" t="n">
        <v>9</v>
      </c>
      <c r="J195" t="n">
        <v>6</v>
      </c>
      <c r="K195" t="n">
        <v>2</v>
      </c>
      <c r="L195" t="n">
        <v>1</v>
      </c>
      <c r="M195" t="n">
        <v>21424.1944594992</v>
      </c>
      <c r="N195" t="n">
        <v>94.79847935363914</v>
      </c>
      <c r="O195">
        <f>IF(N195=0, 0, M195/N195)</f>
        <v/>
      </c>
      <c r="P195">
        <f>RANK(O195, O$2:O$518, 0)</f>
        <v/>
      </c>
      <c r="Q195">
        <f>SUM(C195,F195)</f>
        <v/>
      </c>
      <c r="R195">
        <f>SUM(Q195,G195,H195,D195,E195)</f>
        <v/>
      </c>
      <c r="S195">
        <f>SUM(R195,I195,J195,K195,L195)</f>
        <v/>
      </c>
      <c r="T195">
        <f>IF(R195=0, -1, Q195/R195)</f>
        <v/>
      </c>
      <c r="U195">
        <f>IF(S195=0, -1, Q195/S195)</f>
        <v/>
      </c>
      <c r="V195">
        <f>IF(S195=0, -1, R195/S195)</f>
        <v/>
      </c>
    </row>
    <row r="196">
      <c r="A196" t="inlineStr">
        <is>
          <t>RC00314</t>
        </is>
      </c>
      <c r="B196" t="inlineStr">
        <is>
          <t>哈尔滨师范大学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3</v>
      </c>
      <c r="J196" t="n">
        <v>0</v>
      </c>
      <c r="K196" t="n">
        <v>1</v>
      </c>
      <c r="L196" t="n">
        <v>3</v>
      </c>
      <c r="M196" t="n">
        <v>3828.923590543412</v>
      </c>
      <c r="N196" t="n">
        <v>31.37185828262937</v>
      </c>
      <c r="O196">
        <f>IF(N196=0, 0, M196/N196)</f>
        <v/>
      </c>
      <c r="P196">
        <f>RANK(O196, O$2:O$518, 0)</f>
        <v/>
      </c>
      <c r="Q196">
        <f>SUM(C196,F196)</f>
        <v/>
      </c>
      <c r="R196">
        <f>SUM(Q196,G196,H196,D196,E196)</f>
        <v/>
      </c>
      <c r="S196">
        <f>SUM(R196,I196,J196,K196,L196)</f>
        <v/>
      </c>
      <c r="T196">
        <f>IF(R196=0, -1, Q196/R196)</f>
        <v/>
      </c>
      <c r="U196">
        <f>IF(S196=0, -1, Q196/S196)</f>
        <v/>
      </c>
      <c r="V196">
        <f>IF(S196=0, -1, R196/S196)</f>
        <v/>
      </c>
    </row>
    <row r="197">
      <c r="A197" t="inlineStr">
        <is>
          <t>RC00407</t>
        </is>
      </c>
      <c r="B197" t="inlineStr">
        <is>
          <t>安徽师范大学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3</v>
      </c>
      <c r="J197" t="n">
        <v>4</v>
      </c>
      <c r="K197" t="n">
        <v>3</v>
      </c>
      <c r="L197" t="n">
        <v>2</v>
      </c>
      <c r="M197" t="n">
        <v>6788.498170179206</v>
      </c>
      <c r="N197" t="n">
        <v>53.45294970462739</v>
      </c>
      <c r="O197">
        <f>IF(N197=0, 0, M197/N197)</f>
        <v/>
      </c>
      <c r="P197">
        <f>RANK(O197, O$2:O$518, 0)</f>
        <v/>
      </c>
      <c r="Q197">
        <f>SUM(C197,F197)</f>
        <v/>
      </c>
      <c r="R197">
        <f>SUM(Q197,G197,H197,D197,E197)</f>
        <v/>
      </c>
      <c r="S197">
        <f>SUM(R197,I197,J197,K197,L197)</f>
        <v/>
      </c>
      <c r="T197">
        <f>IF(R197=0, -1, Q197/R197)</f>
        <v/>
      </c>
      <c r="U197">
        <f>IF(S197=0, -1, Q197/S197)</f>
        <v/>
      </c>
      <c r="V197">
        <f>IF(S197=0, -1, R197/S197)</f>
        <v/>
      </c>
    </row>
    <row r="198">
      <c r="A198" t="inlineStr">
        <is>
          <t>RC00189</t>
        </is>
      </c>
      <c r="B198" t="inlineStr">
        <is>
          <t>河北师范大学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</v>
      </c>
      <c r="J198" t="n">
        <v>5</v>
      </c>
      <c r="K198" t="n">
        <v>4</v>
      </c>
      <c r="L198" t="n">
        <v>3</v>
      </c>
      <c r="M198" t="n">
        <v>5557.06038302159</v>
      </c>
      <c r="N198" t="n">
        <v>58.30658024991347</v>
      </c>
      <c r="O198">
        <f>IF(N198=0, 0, M198/N198)</f>
        <v/>
      </c>
      <c r="P198">
        <f>RANK(O198, O$2:O$518, 0)</f>
        <v/>
      </c>
      <c r="Q198">
        <f>SUM(C198,F198)</f>
        <v/>
      </c>
      <c r="R198">
        <f>SUM(Q198,G198,H198,D198,E198)</f>
        <v/>
      </c>
      <c r="S198">
        <f>SUM(R198,I198,J198,K198,L198)</f>
        <v/>
      </c>
      <c r="T198">
        <f>IF(R198=0, -1, Q198/R198)</f>
        <v/>
      </c>
      <c r="U198">
        <f>IF(S198=0, -1, Q198/S198)</f>
        <v/>
      </c>
      <c r="V198">
        <f>IF(S198=0, -1, R198/S198)</f>
        <v/>
      </c>
    </row>
    <row r="199">
      <c r="A199" t="inlineStr">
        <is>
          <t>RC00366</t>
        </is>
      </c>
      <c r="B199" t="inlineStr">
        <is>
          <t>南京信息工程大学</t>
        </is>
      </c>
      <c r="C199" t="n">
        <v>1</v>
      </c>
      <c r="D199" t="n">
        <v>0</v>
      </c>
      <c r="E199" t="n">
        <v>0</v>
      </c>
      <c r="F199" t="n">
        <v>0</v>
      </c>
      <c r="G199" t="n">
        <v>0</v>
      </c>
      <c r="H199" t="n">
        <v>1</v>
      </c>
      <c r="I199" t="n">
        <v>6</v>
      </c>
      <c r="J199" t="n">
        <v>5</v>
      </c>
      <c r="K199" t="n">
        <v>3</v>
      </c>
      <c r="L199" t="n">
        <v>2</v>
      </c>
      <c r="M199" t="n">
        <v>11390.64222088818</v>
      </c>
      <c r="N199" t="n">
        <v>76.03317418141117</v>
      </c>
      <c r="O199">
        <f>IF(N199=0, 0, M199/N199)</f>
        <v/>
      </c>
      <c r="P199">
        <f>RANK(O199, O$2:O$518, 0)</f>
        <v/>
      </c>
      <c r="Q199">
        <f>SUM(C199,F199)</f>
        <v/>
      </c>
      <c r="R199">
        <f>SUM(Q199,G199,H199,D199,E199)</f>
        <v/>
      </c>
      <c r="S199">
        <f>SUM(R199,I199,J199,K199,L199)</f>
        <v/>
      </c>
      <c r="T199">
        <f>IF(R199=0, -1, Q199/R199)</f>
        <v/>
      </c>
      <c r="U199">
        <f>IF(S199=0, -1, Q199/S199)</f>
        <v/>
      </c>
      <c r="V199">
        <f>IF(S199=0, -1, R199/S199)</f>
        <v/>
      </c>
    </row>
    <row r="200">
      <c r="A200" t="inlineStr">
        <is>
          <t>RC00217</t>
        </is>
      </c>
      <c r="B200" t="inlineStr">
        <is>
          <t>山西师范大学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3</v>
      </c>
      <c r="J200" t="n">
        <v>0</v>
      </c>
      <c r="K200" t="n">
        <v>1</v>
      </c>
      <c r="L200" t="n">
        <v>5</v>
      </c>
      <c r="M200" t="n">
        <v>4246.754896655337</v>
      </c>
      <c r="N200" t="n">
        <v>39.56845258658069</v>
      </c>
      <c r="O200">
        <f>IF(N200=0, 0, M200/N200)</f>
        <v/>
      </c>
      <c r="P200">
        <f>RANK(O200, O$2:O$518, 0)</f>
        <v/>
      </c>
      <c r="Q200">
        <f>SUM(C200,F200)</f>
        <v/>
      </c>
      <c r="R200">
        <f>SUM(Q200,G200,H200,D200,E200)</f>
        <v/>
      </c>
      <c r="S200">
        <f>SUM(R200,I200,J200,K200,L200)</f>
        <v/>
      </c>
      <c r="T200">
        <f>IF(R200=0, -1, Q200/R200)</f>
        <v/>
      </c>
      <c r="U200">
        <f>IF(S200=0, -1, Q200/S200)</f>
        <v/>
      </c>
      <c r="V200">
        <f>IF(S200=0, -1, R200/S200)</f>
        <v/>
      </c>
    </row>
    <row r="201">
      <c r="A201" t="inlineStr">
        <is>
          <t>RC00539</t>
        </is>
      </c>
      <c r="B201" t="inlineStr">
        <is>
          <t>武汉纺织大学</t>
        </is>
      </c>
      <c r="C201" t="n">
        <v>0</v>
      </c>
      <c r="D201" t="n">
        <v>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</v>
      </c>
      <c r="K201" t="n">
        <v>0</v>
      </c>
      <c r="L201" t="n">
        <v>3</v>
      </c>
      <c r="M201" t="n">
        <v>3057.40175757779</v>
      </c>
      <c r="N201" t="n">
        <v>21.8210665323618</v>
      </c>
      <c r="O201">
        <f>IF(N201=0, 0, M201/N201)</f>
        <v/>
      </c>
      <c r="P201">
        <f>RANK(O201, O$2:O$518, 0)</f>
        <v/>
      </c>
      <c r="Q201">
        <f>SUM(C201,F201)</f>
        <v/>
      </c>
      <c r="R201">
        <f>SUM(Q201,G201,H201,D201,E201)</f>
        <v/>
      </c>
      <c r="S201">
        <f>SUM(R201,I201,J201,K201,L201)</f>
        <v/>
      </c>
      <c r="T201">
        <f>IF(R201=0, -1, Q201/R201)</f>
        <v/>
      </c>
      <c r="U201">
        <f>IF(S201=0, -1, Q201/S201)</f>
        <v/>
      </c>
      <c r="V201">
        <f>IF(S201=0, -1, R201/S201)</f>
        <v/>
      </c>
    </row>
    <row r="202">
      <c r="A202" t="inlineStr">
        <is>
          <t>RC00646</t>
        </is>
      </c>
      <c r="B202" t="inlineStr">
        <is>
          <t>重庆师范大学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1</v>
      </c>
      <c r="I202" t="n">
        <v>0</v>
      </c>
      <c r="J202" t="n">
        <v>3</v>
      </c>
      <c r="K202" t="n">
        <v>0</v>
      </c>
      <c r="L202" t="n">
        <v>3</v>
      </c>
      <c r="M202" t="n">
        <v>3507.02834605298</v>
      </c>
      <c r="N202" t="n">
        <v>32.70665522641206</v>
      </c>
      <c r="O202">
        <f>IF(N202=0, 0, M202/N202)</f>
        <v/>
      </c>
      <c r="P202">
        <f>RANK(O202, O$2:O$518, 0)</f>
        <v/>
      </c>
      <c r="Q202">
        <f>SUM(C202,F202)</f>
        <v/>
      </c>
      <c r="R202">
        <f>SUM(Q202,G202,H202,D202,E202)</f>
        <v/>
      </c>
      <c r="S202">
        <f>SUM(R202,I202,J202,K202,L202)</f>
        <v/>
      </c>
      <c r="T202">
        <f>IF(R202=0, -1, Q202/R202)</f>
        <v/>
      </c>
      <c r="U202">
        <f>IF(S202=0, -1, Q202/S202)</f>
        <v/>
      </c>
      <c r="V202">
        <f>IF(S202=0, -1, R202/S202)</f>
        <v/>
      </c>
    </row>
    <row r="203">
      <c r="A203" t="inlineStr">
        <is>
          <t>RC00736</t>
        </is>
      </c>
      <c r="B203" t="inlineStr">
        <is>
          <t>延安大学</t>
        </is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</v>
      </c>
      <c r="K203" t="n">
        <v>0</v>
      </c>
      <c r="L203" t="n">
        <v>1</v>
      </c>
      <c r="M203" t="n">
        <v>1298.304873375842</v>
      </c>
      <c r="N203" t="n">
        <v>9.445254378889308</v>
      </c>
      <c r="O203">
        <f>IF(N203=0, 0, M203/N203)</f>
        <v/>
      </c>
      <c r="P203">
        <f>RANK(O203, O$2:O$518, 0)</f>
        <v/>
      </c>
      <c r="Q203">
        <f>SUM(C203,F203)</f>
        <v/>
      </c>
      <c r="R203">
        <f>SUM(Q203,G203,H203,D203,E203)</f>
        <v/>
      </c>
      <c r="S203">
        <f>SUM(R203,I203,J203,K203,L203)</f>
        <v/>
      </c>
      <c r="T203">
        <f>IF(R203=0, -1, Q203/R203)</f>
        <v/>
      </c>
      <c r="U203">
        <f>IF(S203=0, -1, Q203/S203)</f>
        <v/>
      </c>
      <c r="V203">
        <f>IF(S203=0, -1, R203/S203)</f>
        <v/>
      </c>
    </row>
    <row r="204">
      <c r="A204" t="inlineStr">
        <is>
          <t>RC00453</t>
        </is>
      </c>
      <c r="B204" t="inlineStr">
        <is>
          <t>井冈山大学</t>
        </is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730.2659530331157</v>
      </c>
      <c r="N204" t="n">
        <v>5.318119993844216</v>
      </c>
      <c r="O204">
        <f>IF(N204=0, 0, M204/N204)</f>
        <v/>
      </c>
      <c r="P204">
        <f>RANK(O204, O$2:O$518, 0)</f>
        <v/>
      </c>
      <c r="Q204">
        <f>SUM(C204,F204)</f>
        <v/>
      </c>
      <c r="R204">
        <f>SUM(Q204,G204,H204,D204,E204)</f>
        <v/>
      </c>
      <c r="S204">
        <f>SUM(R204,I204,J204,K204,L204)</f>
        <v/>
      </c>
      <c r="T204">
        <f>IF(R204=0, -1, Q204/R204)</f>
        <v/>
      </c>
      <c r="U204">
        <f>IF(S204=0, -1, Q204/S204)</f>
        <v/>
      </c>
      <c r="V204">
        <f>IF(S204=0, -1, R204/S204)</f>
        <v/>
      </c>
    </row>
    <row r="205">
      <c r="A205" t="inlineStr">
        <is>
          <t>RC00782</t>
        </is>
      </c>
      <c r="B205" t="inlineStr">
        <is>
          <t>新疆师范大学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2</v>
      </c>
      <c r="K205" t="n">
        <v>1</v>
      </c>
      <c r="L205" t="n">
        <v>1</v>
      </c>
      <c r="M205" t="n">
        <v>1404.613377445829</v>
      </c>
      <c r="N205" t="n">
        <v>18.60517034883069</v>
      </c>
      <c r="O205">
        <f>IF(N205=0, 0, M205/N205)</f>
        <v/>
      </c>
      <c r="P205">
        <f>RANK(O205, O$2:O$518, 0)</f>
        <v/>
      </c>
      <c r="Q205">
        <f>SUM(C205,F205)</f>
        <v/>
      </c>
      <c r="R205">
        <f>SUM(Q205,G205,H205,D205,E205)</f>
        <v/>
      </c>
      <c r="S205">
        <f>SUM(R205,I205,J205,K205,L205)</f>
        <v/>
      </c>
      <c r="T205">
        <f>IF(R205=0, -1, Q205/R205)</f>
        <v/>
      </c>
      <c r="U205">
        <f>IF(S205=0, -1, Q205/S205)</f>
        <v/>
      </c>
      <c r="V205">
        <f>IF(S205=0, -1, R205/S205)</f>
        <v/>
      </c>
    </row>
    <row r="206">
      <c r="A206" t="inlineStr">
        <is>
          <t>RC00628</t>
        </is>
      </c>
      <c r="B206" t="inlineStr">
        <is>
          <t>南宁师范大学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</v>
      </c>
      <c r="J206" t="n">
        <v>1</v>
      </c>
      <c r="K206" t="n">
        <v>2</v>
      </c>
      <c r="L206" t="n">
        <v>0</v>
      </c>
      <c r="M206" t="n">
        <v>1792.302471969355</v>
      </c>
      <c r="N206" t="n">
        <v>18.33475389864559</v>
      </c>
      <c r="O206">
        <f>IF(N206=0, 0, M206/N206)</f>
        <v/>
      </c>
      <c r="P206">
        <f>RANK(O206, O$2:O$518, 0)</f>
        <v/>
      </c>
      <c r="Q206">
        <f>SUM(C206,F206)</f>
        <v/>
      </c>
      <c r="R206">
        <f>SUM(Q206,G206,H206,D206,E206)</f>
        <v/>
      </c>
      <c r="S206">
        <f>SUM(R206,I206,J206,K206,L206)</f>
        <v/>
      </c>
      <c r="T206">
        <f>IF(R206=0, -1, Q206/R206)</f>
        <v/>
      </c>
      <c r="U206">
        <f>IF(S206=0, -1, Q206/S206)</f>
        <v/>
      </c>
      <c r="V206">
        <f>IF(S206=0, -1, R206/S206)</f>
        <v/>
      </c>
    </row>
    <row r="207">
      <c r="A207" t="inlineStr">
        <is>
          <t>RC00084</t>
        </is>
      </c>
      <c r="B207" t="inlineStr">
        <is>
          <t>中国人民解放军国防科技大学</t>
        </is>
      </c>
      <c r="C207" t="n">
        <v>0</v>
      </c>
      <c r="D207" t="n">
        <v>0</v>
      </c>
      <c r="E207" t="n">
        <v>0</v>
      </c>
      <c r="F207" t="n">
        <v>0</v>
      </c>
      <c r="G207" t="n">
        <v>3</v>
      </c>
      <c r="H207" t="n">
        <v>1</v>
      </c>
      <c r="I207" t="n">
        <v>7</v>
      </c>
      <c r="J207" t="n">
        <v>5</v>
      </c>
      <c r="K207" t="n">
        <v>2</v>
      </c>
      <c r="L207" t="n">
        <v>0</v>
      </c>
      <c r="M207" t="n">
        <v>17381.34237499673</v>
      </c>
      <c r="N207" t="n">
        <v>77.97868651665591</v>
      </c>
      <c r="O207">
        <f>IF(N207=0, 0, M207/N207)</f>
        <v/>
      </c>
      <c r="P207">
        <f>RANK(O207, O$2:O$518, 0)</f>
        <v/>
      </c>
      <c r="Q207">
        <f>SUM(C207,F207)</f>
        <v/>
      </c>
      <c r="R207">
        <f>SUM(Q207,G207,H207,D207,E207)</f>
        <v/>
      </c>
      <c r="S207">
        <f>SUM(R207,I207,J207,K207,L207)</f>
        <v/>
      </c>
      <c r="T207">
        <f>IF(R207=0, -1, Q207/R207)</f>
        <v/>
      </c>
      <c r="U207">
        <f>IF(S207=0, -1, Q207/S207)</f>
        <v/>
      </c>
      <c r="V207">
        <f>IF(S207=0, -1, R207/S207)</f>
        <v/>
      </c>
    </row>
    <row r="208">
      <c r="A208" t="inlineStr">
        <is>
          <t>RC00452</t>
        </is>
      </c>
      <c r="B208" t="inlineStr">
        <is>
          <t>赣南师范大学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2</v>
      </c>
      <c r="K208" t="n">
        <v>1</v>
      </c>
      <c r="L208" t="n">
        <v>2</v>
      </c>
      <c r="M208" t="n">
        <v>1522.034801239965</v>
      </c>
      <c r="N208" t="n">
        <v>21.28423301305965</v>
      </c>
      <c r="O208">
        <f>IF(N208=0, 0, M208/N208)</f>
        <v/>
      </c>
      <c r="P208">
        <f>RANK(O208, O$2:O$518, 0)</f>
        <v/>
      </c>
      <c r="Q208">
        <f>SUM(C208,F208)</f>
        <v/>
      </c>
      <c r="R208">
        <f>SUM(Q208,G208,H208,D208,E208)</f>
        <v/>
      </c>
      <c r="S208">
        <f>SUM(R208,I208,J208,K208,L208)</f>
        <v/>
      </c>
      <c r="T208">
        <f>IF(R208=0, -1, Q208/R208)</f>
        <v/>
      </c>
      <c r="U208">
        <f>IF(S208=0, -1, Q208/S208)</f>
        <v/>
      </c>
      <c r="V208">
        <f>IF(S208=0, -1, R208/S208)</f>
        <v/>
      </c>
    </row>
    <row r="209">
      <c r="A209" t="inlineStr">
        <is>
          <t>RC00536</t>
        </is>
      </c>
      <c r="B209" t="inlineStr">
        <is>
          <t>武汉科技大学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2</v>
      </c>
      <c r="J209" t="n">
        <v>3</v>
      </c>
      <c r="K209" t="n">
        <v>2</v>
      </c>
      <c r="L209" t="n">
        <v>3</v>
      </c>
      <c r="M209" t="n">
        <v>4316.936488926683</v>
      </c>
      <c r="N209" t="n">
        <v>42.14795676450461</v>
      </c>
      <c r="O209">
        <f>IF(N209=0, 0, M209/N209)</f>
        <v/>
      </c>
      <c r="P209">
        <f>RANK(O209, O$2:O$518, 0)</f>
        <v/>
      </c>
      <c r="Q209">
        <f>SUM(C209,F209)</f>
        <v/>
      </c>
      <c r="R209">
        <f>SUM(Q209,G209,H209,D209,E209)</f>
        <v/>
      </c>
      <c r="S209">
        <f>SUM(R209,I209,J209,K209,L209)</f>
        <v/>
      </c>
      <c r="T209">
        <f>IF(R209=0, -1, Q209/R209)</f>
        <v/>
      </c>
      <c r="U209">
        <f>IF(S209=0, -1, Q209/S209)</f>
        <v/>
      </c>
      <c r="V209">
        <f>IF(S209=0, -1, R209/S209)</f>
        <v/>
      </c>
    </row>
    <row r="210">
      <c r="A210" t="inlineStr">
        <is>
          <t>RC00311</t>
        </is>
      </c>
      <c r="B210" t="inlineStr">
        <is>
          <t>东北林业大学</t>
        </is>
      </c>
      <c r="C210" t="n">
        <v>1</v>
      </c>
      <c r="D210" t="n">
        <v>0</v>
      </c>
      <c r="E210" t="n">
        <v>1</v>
      </c>
      <c r="F210" t="n">
        <v>0</v>
      </c>
      <c r="G210" t="n">
        <v>0</v>
      </c>
      <c r="H210" t="n">
        <v>0</v>
      </c>
      <c r="I210" t="n">
        <v>2</v>
      </c>
      <c r="J210" t="n">
        <v>1</v>
      </c>
      <c r="K210" t="n">
        <v>0</v>
      </c>
      <c r="L210" t="n">
        <v>1</v>
      </c>
      <c r="M210" t="n">
        <v>6094.77643993727</v>
      </c>
      <c r="N210" t="n">
        <v>23.93198938331059</v>
      </c>
      <c r="O210">
        <f>IF(N210=0, 0, M210/N210)</f>
        <v/>
      </c>
      <c r="P210">
        <f>RANK(O210, O$2:O$518, 0)</f>
        <v/>
      </c>
      <c r="Q210">
        <f>SUM(C210,F210)</f>
        <v/>
      </c>
      <c r="R210">
        <f>SUM(Q210,G210,H210,D210,E210)</f>
        <v/>
      </c>
      <c r="S210">
        <f>SUM(R210,I210,J210,K210,L210)</f>
        <v/>
      </c>
      <c r="T210">
        <f>IF(R210=0, -1, Q210/R210)</f>
        <v/>
      </c>
      <c r="U210">
        <f>IF(S210=0, -1, Q210/S210)</f>
        <v/>
      </c>
      <c r="V210">
        <f>IF(S210=0, -1, R210/S210)</f>
        <v/>
      </c>
    </row>
    <row r="211">
      <c r="A211" t="inlineStr">
        <is>
          <t>RC00038</t>
        </is>
      </c>
      <c r="B211" t="inlineStr">
        <is>
          <t>北京化工大学</t>
        </is>
      </c>
      <c r="C211" t="n">
        <v>1</v>
      </c>
      <c r="D211" t="n">
        <v>0</v>
      </c>
      <c r="E211" t="n">
        <v>0</v>
      </c>
      <c r="F211" t="n">
        <v>0</v>
      </c>
      <c r="G211" t="n">
        <v>1</v>
      </c>
      <c r="H211" t="n">
        <v>2</v>
      </c>
      <c r="I211" t="n">
        <v>1</v>
      </c>
      <c r="J211" t="n">
        <v>2</v>
      </c>
      <c r="K211" t="n">
        <v>0</v>
      </c>
      <c r="L211" t="n">
        <v>6</v>
      </c>
      <c r="M211" t="n">
        <v>11329.0729632775</v>
      </c>
      <c r="N211" t="n">
        <v>59.49395864613541</v>
      </c>
      <c r="O211">
        <f>IF(N211=0, 0, M211/N211)</f>
        <v/>
      </c>
      <c r="P211">
        <f>RANK(O211, O$2:O$518, 0)</f>
        <v/>
      </c>
      <c r="Q211">
        <f>SUM(C211,F211)</f>
        <v/>
      </c>
      <c r="R211">
        <f>SUM(Q211,G211,H211,D211,E211)</f>
        <v/>
      </c>
      <c r="S211">
        <f>SUM(R211,I211,J211,K211,L211)</f>
        <v/>
      </c>
      <c r="T211">
        <f>IF(R211=0, -1, Q211/R211)</f>
        <v/>
      </c>
      <c r="U211">
        <f>IF(S211=0, -1, Q211/S211)</f>
        <v/>
      </c>
      <c r="V211">
        <f>IF(S211=0, -1, R211/S211)</f>
        <v/>
      </c>
    </row>
    <row r="212">
      <c r="A212" t="inlineStr">
        <is>
          <t>RC00644</t>
        </is>
      </c>
      <c r="B212" t="inlineStr">
        <is>
          <t>重庆邮电大学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2</v>
      </c>
      <c r="I212" t="n">
        <v>0</v>
      </c>
      <c r="J212" t="n">
        <v>2</v>
      </c>
      <c r="K212" t="n">
        <v>2</v>
      </c>
      <c r="L212" t="n">
        <v>7</v>
      </c>
      <c r="M212" t="n">
        <v>5580.217654131367</v>
      </c>
      <c r="N212" t="n">
        <v>55.89332082871514</v>
      </c>
      <c r="O212">
        <f>IF(N212=0, 0, M212/N212)</f>
        <v/>
      </c>
      <c r="P212">
        <f>RANK(O212, O$2:O$518, 0)</f>
        <v/>
      </c>
      <c r="Q212">
        <f>SUM(C212,F212)</f>
        <v/>
      </c>
      <c r="R212">
        <f>SUM(Q212,G212,H212,D212,E212)</f>
        <v/>
      </c>
      <c r="S212">
        <f>SUM(R212,I212,J212,K212,L212)</f>
        <v/>
      </c>
      <c r="T212">
        <f>IF(R212=0, -1, Q212/R212)</f>
        <v/>
      </c>
      <c r="U212">
        <f>IF(S212=0, -1, Q212/S212)</f>
        <v/>
      </c>
      <c r="V212">
        <f>IF(S212=0, -1, R212/S212)</f>
        <v/>
      </c>
    </row>
    <row r="213">
      <c r="A213" t="inlineStr">
        <is>
          <t>RC00621</t>
        </is>
      </c>
      <c r="B213" t="inlineStr">
        <is>
          <t>桂林电子科技大学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2</v>
      </c>
      <c r="J213" t="n">
        <v>2</v>
      </c>
      <c r="K213" t="n">
        <v>3</v>
      </c>
      <c r="L213" t="n">
        <v>4</v>
      </c>
      <c r="M213" t="n">
        <v>3870.502398871459</v>
      </c>
      <c r="N213" t="n">
        <v>49.53803982590563</v>
      </c>
      <c r="O213">
        <f>IF(N213=0, 0, M213/N213)</f>
        <v/>
      </c>
      <c r="P213">
        <f>RANK(O213, O$2:O$518, 0)</f>
        <v/>
      </c>
      <c r="Q213">
        <f>SUM(C213,F213)</f>
        <v/>
      </c>
      <c r="R213">
        <f>SUM(Q213,G213,H213,D213,E213)</f>
        <v/>
      </c>
      <c r="S213">
        <f>SUM(R213,I213,J213,K213,L213)</f>
        <v/>
      </c>
      <c r="T213">
        <f>IF(R213=0, -1, Q213/R213)</f>
        <v/>
      </c>
      <c r="U213">
        <f>IF(S213=0, -1, Q213/S213)</f>
        <v/>
      </c>
      <c r="V213">
        <f>IF(S213=0, -1, R213/S213)</f>
        <v/>
      </c>
    </row>
    <row r="214">
      <c r="A214" t="inlineStr">
        <is>
          <t>RC00727</t>
        </is>
      </c>
      <c r="B214" t="inlineStr">
        <is>
          <t>长安大学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2</v>
      </c>
      <c r="I214" t="n">
        <v>1</v>
      </c>
      <c r="J214" t="n">
        <v>4</v>
      </c>
      <c r="K214" t="n">
        <v>5</v>
      </c>
      <c r="L214" t="n">
        <v>5</v>
      </c>
      <c r="M214" t="n">
        <v>8005.500778765643</v>
      </c>
      <c r="N214" t="n">
        <v>70.49386885853558</v>
      </c>
      <c r="O214">
        <f>IF(N214=0, 0, M214/N214)</f>
        <v/>
      </c>
      <c r="P214">
        <f>RANK(O214, O$2:O$518, 0)</f>
        <v/>
      </c>
      <c r="Q214">
        <f>SUM(C214,F214)</f>
        <v/>
      </c>
      <c r="R214">
        <f>SUM(Q214,G214,H214,D214,E214)</f>
        <v/>
      </c>
      <c r="S214">
        <f>SUM(R214,I214,J214,K214,L214)</f>
        <v/>
      </c>
      <c r="T214">
        <f>IF(R214=0, -1, Q214/R214)</f>
        <v/>
      </c>
      <c r="U214">
        <f>IF(S214=0, -1, Q214/S214)</f>
        <v/>
      </c>
      <c r="V214">
        <f>IF(S214=0, -1, R214/S214)</f>
        <v/>
      </c>
    </row>
    <row r="215">
      <c r="A215" t="inlineStr">
        <is>
          <t>RC00659</t>
        </is>
      </c>
      <c r="B215" t="inlineStr">
        <is>
          <t>西南石油大学</t>
        </is>
      </c>
      <c r="C215" t="n">
        <v>0</v>
      </c>
      <c r="D215" t="n">
        <v>1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3</v>
      </c>
      <c r="K215" t="n">
        <v>1</v>
      </c>
      <c r="L215" t="n">
        <v>2</v>
      </c>
      <c r="M215" t="n">
        <v>3269.105909875102</v>
      </c>
      <c r="N215" t="n">
        <v>29.48106303121158</v>
      </c>
      <c r="O215">
        <f>IF(N215=0, 0, M215/N215)</f>
        <v/>
      </c>
      <c r="P215">
        <f>RANK(O215, O$2:O$518, 0)</f>
        <v/>
      </c>
      <c r="Q215">
        <f>SUM(C215,F215)</f>
        <v/>
      </c>
      <c r="R215">
        <f>SUM(Q215,G215,H215,D215,E215)</f>
        <v/>
      </c>
      <c r="S215">
        <f>SUM(R215,I215,J215,K215,L215)</f>
        <v/>
      </c>
      <c r="T215">
        <f>IF(R215=0, -1, Q215/R215)</f>
        <v/>
      </c>
      <c r="U215">
        <f>IF(S215=0, -1, Q215/S215)</f>
        <v/>
      </c>
      <c r="V215">
        <f>IF(S215=0, -1, R215/S215)</f>
        <v/>
      </c>
    </row>
    <row r="216">
      <c r="A216" t="inlineStr">
        <is>
          <t>RC00504</t>
        </is>
      </c>
      <c r="B216" t="inlineStr">
        <is>
          <t>河南理工大学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</v>
      </c>
      <c r="J216" t="n">
        <v>1</v>
      </c>
      <c r="K216" t="n">
        <v>4</v>
      </c>
      <c r="L216" t="n">
        <v>1</v>
      </c>
      <c r="M216" t="n">
        <v>3578.048980680036</v>
      </c>
      <c r="N216" t="n">
        <v>27.52048938503509</v>
      </c>
      <c r="O216">
        <f>IF(N216=0, 0, M216/N216)</f>
        <v/>
      </c>
      <c r="P216">
        <f>RANK(O216, O$2:O$518, 0)</f>
        <v/>
      </c>
      <c r="Q216">
        <f>SUM(C216,F216)</f>
        <v/>
      </c>
      <c r="R216">
        <f>SUM(Q216,G216,H216,D216,E216)</f>
        <v/>
      </c>
      <c r="S216">
        <f>SUM(R216,I216,J216,K216,L216)</f>
        <v/>
      </c>
      <c r="T216">
        <f>IF(R216=0, -1, Q216/R216)</f>
        <v/>
      </c>
      <c r="U216">
        <f>IF(S216=0, -1, Q216/S216)</f>
        <v/>
      </c>
      <c r="V216">
        <f>IF(S216=0, -1, R216/S216)</f>
        <v/>
      </c>
    </row>
    <row r="217">
      <c r="A217" t="inlineStr">
        <is>
          <t>RC00507</t>
        </is>
      </c>
      <c r="B217" t="inlineStr">
        <is>
          <t>河南科技大学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2</v>
      </c>
      <c r="K217" t="n">
        <v>4</v>
      </c>
      <c r="L217" t="n">
        <v>5</v>
      </c>
      <c r="M217" t="n">
        <v>3236.385626371712</v>
      </c>
      <c r="N217" t="n">
        <v>50.37491152141297</v>
      </c>
      <c r="O217">
        <f>IF(N217=0, 0, M217/N217)</f>
        <v/>
      </c>
      <c r="P217">
        <f>RANK(O217, O$2:O$518, 0)</f>
        <v/>
      </c>
      <c r="Q217">
        <f>SUM(C217,F217)</f>
        <v/>
      </c>
      <c r="R217">
        <f>SUM(Q217,G217,H217,D217,E217)</f>
        <v/>
      </c>
      <c r="S217">
        <f>SUM(R217,I217,J217,K217,L217)</f>
        <v/>
      </c>
      <c r="T217">
        <f>IF(R217=0, -1, Q217/R217)</f>
        <v/>
      </c>
      <c r="U217">
        <f>IF(S217=0, -1, Q217/S217)</f>
        <v/>
      </c>
      <c r="V217">
        <f>IF(S217=0, -1, R217/S217)</f>
        <v/>
      </c>
    </row>
    <row r="218">
      <c r="A218" t="inlineStr">
        <is>
          <t>RC00728</t>
        </is>
      </c>
      <c r="B218" t="inlineStr">
        <is>
          <t>西安理工大学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1</v>
      </c>
      <c r="I218" t="n">
        <v>2</v>
      </c>
      <c r="J218" t="n">
        <v>2</v>
      </c>
      <c r="K218" t="n">
        <v>5</v>
      </c>
      <c r="L218" t="n">
        <v>2</v>
      </c>
      <c r="M218" t="n">
        <v>5420.842144996775</v>
      </c>
      <c r="N218" t="n">
        <v>53.88836413800115</v>
      </c>
      <c r="O218">
        <f>IF(N218=0, 0, M218/N218)</f>
        <v/>
      </c>
      <c r="P218">
        <f>RANK(O218, O$2:O$518, 0)</f>
        <v/>
      </c>
      <c r="Q218">
        <f>SUM(C218,F218)</f>
        <v/>
      </c>
      <c r="R218">
        <f>SUM(Q218,G218,H218,D218,E218)</f>
        <v/>
      </c>
      <c r="S218">
        <f>SUM(R218,I218,J218,K218,L218)</f>
        <v/>
      </c>
      <c r="T218">
        <f>IF(R218=0, -1, Q218/R218)</f>
        <v/>
      </c>
      <c r="U218">
        <f>IF(S218=0, -1, Q218/S218)</f>
        <v/>
      </c>
      <c r="V218">
        <f>IF(S218=0, -1, R218/S218)</f>
        <v/>
      </c>
    </row>
    <row r="219">
      <c r="A219" t="inlineStr">
        <is>
          <t>RC00661</t>
        </is>
      </c>
      <c r="B219" t="inlineStr">
        <is>
          <t>西南科技大学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 t="n">
        <v>2</v>
      </c>
      <c r="M219" t="n">
        <v>2012.905031771956</v>
      </c>
      <c r="N219" t="n">
        <v>28.75489278390442</v>
      </c>
      <c r="O219">
        <f>IF(N219=0, 0, M219/N219)</f>
        <v/>
      </c>
      <c r="P219">
        <f>RANK(O219, O$2:O$518, 0)</f>
        <v/>
      </c>
      <c r="Q219">
        <f>SUM(C219,F219)</f>
        <v/>
      </c>
      <c r="R219">
        <f>SUM(Q219,G219,H219,D219,E219)</f>
        <v/>
      </c>
      <c r="S219">
        <f>SUM(R219,I219,J219,K219,L219)</f>
        <v/>
      </c>
      <c r="T219">
        <f>IF(R219=0, -1, Q219/R219)</f>
        <v/>
      </c>
      <c r="U219">
        <f>IF(S219=0, -1, Q219/S219)</f>
        <v/>
      </c>
      <c r="V219">
        <f>IF(S219=0, -1, R219/S219)</f>
        <v/>
      </c>
    </row>
    <row r="220">
      <c r="A220" t="inlineStr">
        <is>
          <t>RC00108</t>
        </is>
      </c>
      <c r="B220" t="inlineStr">
        <is>
          <t>福建农林大学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1</v>
      </c>
      <c r="I220" t="n">
        <v>4</v>
      </c>
      <c r="J220" t="n">
        <v>1</v>
      </c>
      <c r="K220" t="n">
        <v>7</v>
      </c>
      <c r="L220" t="n">
        <v>3</v>
      </c>
      <c r="M220" t="n">
        <v>9540.396332662644</v>
      </c>
      <c r="N220" t="n">
        <v>58.06519990943161</v>
      </c>
      <c r="O220">
        <f>IF(N220=0, 0, M220/N220)</f>
        <v/>
      </c>
      <c r="P220">
        <f>RANK(O220, O$2:O$518, 0)</f>
        <v/>
      </c>
      <c r="Q220">
        <f>SUM(C220,F220)</f>
        <v/>
      </c>
      <c r="R220">
        <f>SUM(Q220,G220,H220,D220,E220)</f>
        <v/>
      </c>
      <c r="S220">
        <f>SUM(R220,I220,J220,K220,L220)</f>
        <v/>
      </c>
      <c r="T220">
        <f>IF(R220=0, -1, Q220/R220)</f>
        <v/>
      </c>
      <c r="U220">
        <f>IF(S220=0, -1, Q220/S220)</f>
        <v/>
      </c>
      <c r="V220">
        <f>IF(S220=0, -1, R220/S220)</f>
        <v/>
      </c>
    </row>
    <row r="221">
      <c r="A221" t="inlineStr">
        <is>
          <t>RC00342</t>
        </is>
      </c>
      <c r="B221" t="inlineStr">
        <is>
          <t>上海工程技术大学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1</v>
      </c>
      <c r="J221" t="n">
        <v>2</v>
      </c>
      <c r="K221" t="n">
        <v>2</v>
      </c>
      <c r="L221" t="n">
        <v>0</v>
      </c>
      <c r="M221" t="n">
        <v>2436.376184341318</v>
      </c>
      <c r="N221" t="n">
        <v>23.81564955041311</v>
      </c>
      <c r="O221">
        <f>IF(N221=0, 0, M221/N221)</f>
        <v/>
      </c>
      <c r="P221">
        <f>RANK(O221, O$2:O$518, 0)</f>
        <v/>
      </c>
      <c r="Q221">
        <f>SUM(C221,F221)</f>
        <v/>
      </c>
      <c r="R221">
        <f>SUM(Q221,G221,H221,D221,E221)</f>
        <v/>
      </c>
      <c r="S221">
        <f>SUM(R221,I221,J221,K221,L221)</f>
        <v/>
      </c>
      <c r="T221">
        <f>IF(R221=0, -1, Q221/R221)</f>
        <v/>
      </c>
      <c r="U221">
        <f>IF(S221=0, -1, Q221/S221)</f>
        <v/>
      </c>
      <c r="V221">
        <f>IF(S221=0, -1, R221/S221)</f>
        <v/>
      </c>
    </row>
    <row r="222">
      <c r="A222" t="inlineStr">
        <is>
          <t>RC00100</t>
        </is>
      </c>
      <c r="B222" t="inlineStr">
        <is>
          <t>北京邮电大学</t>
        </is>
      </c>
      <c r="C222" t="n">
        <v>0</v>
      </c>
      <c r="D222" t="n">
        <v>0</v>
      </c>
      <c r="E222" t="n">
        <v>0</v>
      </c>
      <c r="F222" t="n">
        <v>1</v>
      </c>
      <c r="G222" t="n">
        <v>2</v>
      </c>
      <c r="H222" t="n">
        <v>2</v>
      </c>
      <c r="I222" t="n">
        <v>3</v>
      </c>
      <c r="J222" t="n">
        <v>6</v>
      </c>
      <c r="K222" t="n">
        <v>3</v>
      </c>
      <c r="L222" t="n">
        <v>0</v>
      </c>
      <c r="M222" t="n">
        <v>18483.49919860478</v>
      </c>
      <c r="N222" t="n">
        <v>75.80703184066094</v>
      </c>
      <c r="O222">
        <f>IF(N222=0, 0, M222/N222)</f>
        <v/>
      </c>
      <c r="P222">
        <f>RANK(O222, O$2:O$518, 0)</f>
        <v/>
      </c>
      <c r="Q222">
        <f>SUM(C222,F222)</f>
        <v/>
      </c>
      <c r="R222">
        <f>SUM(Q222,G222,H222,D222,E222)</f>
        <v/>
      </c>
      <c r="S222">
        <f>SUM(R222,I222,J222,K222,L222)</f>
        <v/>
      </c>
      <c r="T222">
        <f>IF(R222=0, -1, Q222/R222)</f>
        <v/>
      </c>
      <c r="U222">
        <f>IF(S222=0, -1, Q222/S222)</f>
        <v/>
      </c>
      <c r="V222">
        <f>IF(S222=0, -1, R222/S222)</f>
        <v/>
      </c>
    </row>
    <row r="223">
      <c r="A223" t="inlineStr">
        <is>
          <t>RC00056</t>
        </is>
      </c>
      <c r="B223" t="inlineStr">
        <is>
          <t>华北电力大学</t>
        </is>
      </c>
      <c r="C223" t="n">
        <v>0</v>
      </c>
      <c r="D223" t="n">
        <v>0</v>
      </c>
      <c r="E223" t="n">
        <v>0</v>
      </c>
      <c r="F223" t="n">
        <v>0</v>
      </c>
      <c r="G223" t="n">
        <v>2</v>
      </c>
      <c r="H223" t="n">
        <v>1</v>
      </c>
      <c r="I223" t="n">
        <v>0</v>
      </c>
      <c r="J223" t="n">
        <v>2</v>
      </c>
      <c r="K223" t="n">
        <v>5</v>
      </c>
      <c r="L223" t="n">
        <v>1</v>
      </c>
      <c r="M223" t="n">
        <v>9358.169882945409</v>
      </c>
      <c r="N223" t="n">
        <v>49.33434160506722</v>
      </c>
      <c r="O223">
        <f>IF(N223=0, 0, M223/N223)</f>
        <v/>
      </c>
      <c r="P223">
        <f>RANK(O223, O$2:O$518, 0)</f>
        <v/>
      </c>
      <c r="Q223">
        <f>SUM(C223,F223)</f>
        <v/>
      </c>
      <c r="R223">
        <f>SUM(Q223,G223,H223,D223,E223)</f>
        <v/>
      </c>
      <c r="S223">
        <f>SUM(R223,I223,J223,K223,L223)</f>
        <v/>
      </c>
      <c r="T223">
        <f>IF(R223=0, -1, Q223/R223)</f>
        <v/>
      </c>
      <c r="U223">
        <f>IF(S223=0, -1, Q223/S223)</f>
        <v/>
      </c>
      <c r="V223">
        <f>IF(S223=0, -1, R223/S223)</f>
        <v/>
      </c>
    </row>
    <row r="224">
      <c r="A224" t="inlineStr">
        <is>
          <t>RC00443</t>
        </is>
      </c>
      <c r="B224" t="inlineStr">
        <is>
          <t>南昌航空大学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1</v>
      </c>
      <c r="J224" t="n">
        <v>1</v>
      </c>
      <c r="K224" t="n">
        <v>3</v>
      </c>
      <c r="L224" t="n">
        <v>2</v>
      </c>
      <c r="M224" t="n">
        <v>2724.838374624044</v>
      </c>
      <c r="N224" t="n">
        <v>31.40793518422633</v>
      </c>
      <c r="O224">
        <f>IF(N224=0, 0, M224/N224)</f>
        <v/>
      </c>
      <c r="P224">
        <f>RANK(O224, O$2:O$518, 0)</f>
        <v/>
      </c>
      <c r="Q224">
        <f>SUM(C224,F224)</f>
        <v/>
      </c>
      <c r="R224">
        <f>SUM(Q224,G224,H224,D224,E224)</f>
        <v/>
      </c>
      <c r="S224">
        <f>SUM(R224,I224,J224,K224,L224)</f>
        <v/>
      </c>
      <c r="T224">
        <f>IF(R224=0, -1, Q224/R224)</f>
        <v/>
      </c>
      <c r="U224">
        <f>IF(S224=0, -1, Q224/S224)</f>
        <v/>
      </c>
      <c r="V224">
        <f>IF(S224=0, -1, R224/S224)</f>
        <v/>
      </c>
    </row>
    <row r="225">
      <c r="A225" t="inlineStr">
        <is>
          <t>RC00590</t>
        </is>
      </c>
      <c r="B225" t="inlineStr">
        <is>
          <t>湖南第一师范学院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473.836687082556</v>
      </c>
      <c r="N225" t="n">
        <v>5.318119993844216</v>
      </c>
      <c r="O225">
        <f>IF(N225=0, 0, M225/N225)</f>
        <v/>
      </c>
      <c r="P225">
        <f>RANK(O225, O$2:O$518, 0)</f>
        <v/>
      </c>
      <c r="Q225">
        <f>SUM(C225,F225)</f>
        <v/>
      </c>
      <c r="R225">
        <f>SUM(Q225,G225,H225,D225,E225)</f>
        <v/>
      </c>
      <c r="S225">
        <f>SUM(R225,I225,J225,K225,L225)</f>
        <v/>
      </c>
      <c r="T225">
        <f>IF(R225=0, -1, Q225/R225)</f>
        <v/>
      </c>
      <c r="U225">
        <f>IF(S225=0, -1, Q225/S225)</f>
        <v/>
      </c>
      <c r="V225">
        <f>IF(S225=0, -1, R225/S225)</f>
        <v/>
      </c>
    </row>
    <row r="226">
      <c r="A226" t="inlineStr">
        <is>
          <t>RC00642</t>
        </is>
      </c>
      <c r="B226" t="inlineStr">
        <is>
          <t>海南师范大学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3</v>
      </c>
      <c r="K226" t="n">
        <v>1</v>
      </c>
      <c r="L226" t="n">
        <v>2</v>
      </c>
      <c r="M226" t="n">
        <v>2031.307877406319</v>
      </c>
      <c r="N226" t="n">
        <v>28.25409844093235</v>
      </c>
      <c r="O226">
        <f>IF(N226=0, 0, M226/N226)</f>
        <v/>
      </c>
      <c r="P226">
        <f>RANK(O226, O$2:O$518, 0)</f>
        <v/>
      </c>
      <c r="Q226">
        <f>SUM(C226,F226)</f>
        <v/>
      </c>
      <c r="R226">
        <f>SUM(Q226,G226,H226,D226,E226)</f>
        <v/>
      </c>
      <c r="S226">
        <f>SUM(R226,I226,J226,K226,L226)</f>
        <v/>
      </c>
      <c r="T226">
        <f>IF(R226=0, -1, Q226/R226)</f>
        <v/>
      </c>
      <c r="U226">
        <f>IF(S226=0, -1, Q226/S226)</f>
        <v/>
      </c>
      <c r="V226">
        <f>IF(S226=0, -1, R226/S226)</f>
        <v/>
      </c>
    </row>
    <row r="227">
      <c r="A227" t="inlineStr">
        <is>
          <t>RC00645</t>
        </is>
      </c>
      <c r="B227" t="inlineStr">
        <is>
          <t>重庆交通大学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1</v>
      </c>
      <c r="I227" t="n">
        <v>0</v>
      </c>
      <c r="J227" t="n">
        <v>1</v>
      </c>
      <c r="K227" t="n">
        <v>2</v>
      </c>
      <c r="L227" t="n">
        <v>2</v>
      </c>
      <c r="M227" t="n">
        <v>2461.351323553879</v>
      </c>
      <c r="N227" t="n">
        <v>23.55567902095995</v>
      </c>
      <c r="O227">
        <f>IF(N227=0, 0, M227/N227)</f>
        <v/>
      </c>
      <c r="P227">
        <f>RANK(O227, O$2:O$518, 0)</f>
        <v/>
      </c>
      <c r="Q227">
        <f>SUM(C227,F227)</f>
        <v/>
      </c>
      <c r="R227">
        <f>SUM(Q227,G227,H227,D227,E227)</f>
        <v/>
      </c>
      <c r="S227">
        <f>SUM(R227,I227,J227,K227,L227)</f>
        <v/>
      </c>
      <c r="T227">
        <f>IF(R227=0, -1, Q227/R227)</f>
        <v/>
      </c>
      <c r="U227">
        <f>IF(S227=0, -1, Q227/S227)</f>
        <v/>
      </c>
      <c r="V227">
        <f>IF(S227=0, -1, R227/S227)</f>
        <v/>
      </c>
    </row>
    <row r="228">
      <c r="A228" t="inlineStr">
        <is>
          <t>RC00066</t>
        </is>
      </c>
      <c r="B228" t="inlineStr">
        <is>
          <t>中国石油大学（北京）</t>
        </is>
      </c>
      <c r="C228" t="n">
        <v>1</v>
      </c>
      <c r="D228" t="n">
        <v>0</v>
      </c>
      <c r="E228" t="n">
        <v>0</v>
      </c>
      <c r="F228" t="n">
        <v>0</v>
      </c>
      <c r="G228" t="n">
        <v>1</v>
      </c>
      <c r="H228" t="n">
        <v>1</v>
      </c>
      <c r="I228" t="n">
        <v>1</v>
      </c>
      <c r="J228" t="n">
        <v>1</v>
      </c>
      <c r="K228" t="n">
        <v>2</v>
      </c>
      <c r="L228" t="n">
        <v>1</v>
      </c>
      <c r="M228" t="n">
        <v>8636.596666453548</v>
      </c>
      <c r="N228" t="n">
        <v>32.18219278946921</v>
      </c>
      <c r="O228">
        <f>IF(N228=0, 0, M228/N228)</f>
        <v/>
      </c>
      <c r="P228">
        <f>RANK(O228, O$2:O$518, 0)</f>
        <v/>
      </c>
      <c r="Q228">
        <f>SUM(C228,F228)</f>
        <v/>
      </c>
      <c r="R228">
        <f>SUM(Q228,G228,H228,D228,E228)</f>
        <v/>
      </c>
      <c r="S228">
        <f>SUM(R228,I228,J228,K228,L228)</f>
        <v/>
      </c>
      <c r="T228">
        <f>IF(R228=0, -1, Q228/R228)</f>
        <v/>
      </c>
      <c r="U228">
        <f>IF(S228=0, -1, Q228/S228)</f>
        <v/>
      </c>
      <c r="V228">
        <f>IF(S228=0, -1, R228/S228)</f>
        <v/>
      </c>
    </row>
    <row r="229">
      <c r="A229" t="inlineStr">
        <is>
          <t>RC00569</t>
        </is>
      </c>
      <c r="B229" t="inlineStr">
        <is>
          <t>湖南农业大学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2</v>
      </c>
      <c r="J229" t="n">
        <v>5</v>
      </c>
      <c r="K229" t="n">
        <v>3</v>
      </c>
      <c r="L229" t="n">
        <v>1</v>
      </c>
      <c r="M229" t="n">
        <v>6379.913355846501</v>
      </c>
      <c r="N229" t="n">
        <v>41.50494679407304</v>
      </c>
      <c r="O229">
        <f>IF(N229=0, 0, M229/N229)</f>
        <v/>
      </c>
      <c r="P229">
        <f>RANK(O229, O$2:O$518, 0)</f>
        <v/>
      </c>
      <c r="Q229">
        <f>SUM(C229,F229)</f>
        <v/>
      </c>
      <c r="R229">
        <f>SUM(Q229,G229,H229,D229,E229)</f>
        <v/>
      </c>
      <c r="S229">
        <f>SUM(R229,I229,J229,K229,L229)</f>
        <v/>
      </c>
      <c r="T229">
        <f>IF(R229=0, -1, Q229/R229)</f>
        <v/>
      </c>
      <c r="U229">
        <f>IF(S229=0, -1, Q229/S229)</f>
        <v/>
      </c>
      <c r="V229">
        <f>IF(S229=0, -1, R229/S229)</f>
        <v/>
      </c>
    </row>
    <row r="230">
      <c r="A230" t="inlineStr">
        <is>
          <t>RC00071</t>
        </is>
      </c>
      <c r="B230" t="inlineStr">
        <is>
          <t>东华大学</t>
        </is>
      </c>
      <c r="C230" t="n">
        <v>1</v>
      </c>
      <c r="D230" t="n">
        <v>0</v>
      </c>
      <c r="E230" t="n">
        <v>0</v>
      </c>
      <c r="F230" t="n">
        <v>0</v>
      </c>
      <c r="G230" t="n">
        <v>1</v>
      </c>
      <c r="H230" t="n">
        <v>1</v>
      </c>
      <c r="I230" t="n">
        <v>0</v>
      </c>
      <c r="J230" t="n">
        <v>4</v>
      </c>
      <c r="K230" t="n">
        <v>4</v>
      </c>
      <c r="L230" t="n">
        <v>6</v>
      </c>
      <c r="M230" t="n">
        <v>10859.1325293513</v>
      </c>
      <c r="N230" t="n">
        <v>75.93620357181342</v>
      </c>
      <c r="O230">
        <f>IF(N230=0, 0, M230/N230)</f>
        <v/>
      </c>
      <c r="P230">
        <f>RANK(O230, O$2:O$518, 0)</f>
        <v/>
      </c>
      <c r="Q230">
        <f>SUM(C230,F230)</f>
        <v/>
      </c>
      <c r="R230">
        <f>SUM(Q230,G230,H230,D230,E230)</f>
        <v/>
      </c>
      <c r="S230">
        <f>SUM(R230,I230,J230,K230,L230)</f>
        <v/>
      </c>
      <c r="T230">
        <f>IF(R230=0, -1, Q230/R230)</f>
        <v/>
      </c>
      <c r="U230">
        <f>IF(S230=0, -1, Q230/S230)</f>
        <v/>
      </c>
      <c r="V230">
        <f>IF(S230=0, -1, R230/S230)</f>
        <v/>
      </c>
    </row>
    <row r="231">
      <c r="A231" t="inlineStr">
        <is>
          <t>RC00671</t>
        </is>
      </c>
      <c r="B231" t="inlineStr">
        <is>
          <t>西华师范大学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4</v>
      </c>
      <c r="L231" t="n">
        <v>0</v>
      </c>
      <c r="M231" t="n">
        <v>1606.105298524214</v>
      </c>
      <c r="N231" t="n">
        <v>18.41204685900392</v>
      </c>
      <c r="O231">
        <f>IF(N231=0, 0, M231/N231)</f>
        <v/>
      </c>
      <c r="P231">
        <f>RANK(O231, O$2:O$518, 0)</f>
        <v/>
      </c>
      <c r="Q231">
        <f>SUM(C231,F231)</f>
        <v/>
      </c>
      <c r="R231">
        <f>SUM(Q231,G231,H231,D231,E231)</f>
        <v/>
      </c>
      <c r="S231">
        <f>SUM(R231,I231,J231,K231,L231)</f>
        <v/>
      </c>
      <c r="T231">
        <f>IF(R231=0, -1, Q231/R231)</f>
        <v/>
      </c>
      <c r="U231">
        <f>IF(S231=0, -1, Q231/S231)</f>
        <v/>
      </c>
      <c r="V231">
        <f>IF(S231=0, -1, R231/S231)</f>
        <v/>
      </c>
    </row>
    <row r="232">
      <c r="A232" t="inlineStr">
        <is>
          <t>RC00751</t>
        </is>
      </c>
      <c r="B232" t="inlineStr">
        <is>
          <t>西安邮电大学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1</v>
      </c>
      <c r="J232" t="n">
        <v>0</v>
      </c>
      <c r="K232" t="n">
        <v>4</v>
      </c>
      <c r="L232" t="n">
        <v>3</v>
      </c>
      <c r="M232" t="n">
        <v>2438.056270348946</v>
      </c>
      <c r="N232" t="n">
        <v>35.62924386388537</v>
      </c>
      <c r="O232">
        <f>IF(N232=0, 0, M232/N232)</f>
        <v/>
      </c>
      <c r="P232">
        <f>RANK(O232, O$2:O$518, 0)</f>
        <v/>
      </c>
      <c r="Q232">
        <f>SUM(C232,F232)</f>
        <v/>
      </c>
      <c r="R232">
        <f>SUM(Q232,G232,H232,D232,E232)</f>
        <v/>
      </c>
      <c r="S232">
        <f>SUM(R232,I232,J232,K232,L232)</f>
        <v/>
      </c>
      <c r="T232">
        <f>IF(R232=0, -1, Q232/R232)</f>
        <v/>
      </c>
      <c r="U232">
        <f>IF(S232=0, -1, Q232/S232)</f>
        <v/>
      </c>
      <c r="V232">
        <f>IF(S232=0, -1, R232/S232)</f>
        <v/>
      </c>
    </row>
    <row r="233">
      <c r="A233" t="inlineStr">
        <is>
          <t>RC00260</t>
        </is>
      </c>
      <c r="B233" t="inlineStr">
        <is>
          <t>辽宁中医药大学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1</v>
      </c>
      <c r="J233" t="n">
        <v>0</v>
      </c>
      <c r="K233" t="n">
        <v>0</v>
      </c>
      <c r="L233" t="n">
        <v>2</v>
      </c>
      <c r="M233" t="n">
        <v>1483.155138579763</v>
      </c>
      <c r="N233" t="n">
        <v>11.82837833436737</v>
      </c>
      <c r="O233">
        <f>IF(N233=0, 0, M233/N233)</f>
        <v/>
      </c>
      <c r="P233">
        <f>RANK(O233, O$2:O$518, 0)</f>
        <v/>
      </c>
      <c r="Q233">
        <f>SUM(C233,F233)</f>
        <v/>
      </c>
      <c r="R233">
        <f>SUM(Q233,G233,H233,D233,E233)</f>
        <v/>
      </c>
      <c r="S233">
        <f>SUM(R233,I233,J233,K233,L233)</f>
        <v/>
      </c>
      <c r="T233">
        <f>IF(R233=0, -1, Q233/R233)</f>
        <v/>
      </c>
      <c r="U233">
        <f>IF(S233=0, -1, Q233/S233)</f>
        <v/>
      </c>
      <c r="V233">
        <f>IF(S233=0, -1, R233/S233)</f>
        <v/>
      </c>
    </row>
    <row r="234">
      <c r="A234" t="inlineStr">
        <is>
          <t>RC00327</t>
        </is>
      </c>
      <c r="B234" t="inlineStr">
        <is>
          <t>上海理工大学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2</v>
      </c>
      <c r="J234" t="n">
        <v>5</v>
      </c>
      <c r="K234" t="n">
        <v>5</v>
      </c>
      <c r="L234" t="n">
        <v>4</v>
      </c>
      <c r="M234" t="n">
        <v>6265.303086959368</v>
      </c>
      <c r="N234" t="n">
        <v>71.67883723867905</v>
      </c>
      <c r="O234">
        <f>IF(N234=0, 0, M234/N234)</f>
        <v/>
      </c>
      <c r="P234">
        <f>RANK(O234, O$2:O$518, 0)</f>
        <v/>
      </c>
      <c r="Q234">
        <f>SUM(C234,F234)</f>
        <v/>
      </c>
      <c r="R234">
        <f>SUM(Q234,G234,H234,D234,E234)</f>
        <v/>
      </c>
      <c r="S234">
        <f>SUM(R234,I234,J234,K234,L234)</f>
        <v/>
      </c>
      <c r="T234">
        <f>IF(R234=0, -1, Q234/R234)</f>
        <v/>
      </c>
      <c r="U234">
        <f>IF(S234=0, -1, Q234/S234)</f>
        <v/>
      </c>
      <c r="V234">
        <f>IF(S234=0, -1, R234/S234)</f>
        <v/>
      </c>
    </row>
    <row r="235">
      <c r="A235" t="inlineStr">
        <is>
          <t>RC00246</t>
        </is>
      </c>
      <c r="B235" t="inlineStr">
        <is>
          <t>沈阳航空航天大学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1</v>
      </c>
      <c r="K235" t="n">
        <v>2</v>
      </c>
      <c r="L235" t="n">
        <v>3</v>
      </c>
      <c r="M235" t="n">
        <v>1381.760881807308</v>
      </c>
      <c r="N235" t="n">
        <v>26.65880896482105</v>
      </c>
      <c r="O235">
        <f>IF(N235=0, 0, M235/N235)</f>
        <v/>
      </c>
      <c r="P235">
        <f>RANK(O235, O$2:O$518, 0)</f>
        <v/>
      </c>
      <c r="Q235">
        <f>SUM(C235,F235)</f>
        <v/>
      </c>
      <c r="R235">
        <f>SUM(Q235,G235,H235,D235,E235)</f>
        <v/>
      </c>
      <c r="S235">
        <f>SUM(R235,I235,J235,K235,L235)</f>
        <v/>
      </c>
      <c r="T235">
        <f>IF(R235=0, -1, Q235/R235)</f>
        <v/>
      </c>
      <c r="U235">
        <f>IF(S235=0, -1, Q235/S235)</f>
        <v/>
      </c>
      <c r="V235">
        <f>IF(S235=0, -1, R235/S235)</f>
        <v/>
      </c>
    </row>
    <row r="236">
      <c r="A236" t="inlineStr">
        <is>
          <t>RC00101</t>
        </is>
      </c>
      <c r="B236" t="inlineStr">
        <is>
          <t>北京林业大学</t>
        </is>
      </c>
      <c r="C236" t="n">
        <v>2</v>
      </c>
      <c r="D236" t="n">
        <v>2</v>
      </c>
      <c r="E236" t="n">
        <v>0</v>
      </c>
      <c r="F236" t="n">
        <v>0</v>
      </c>
      <c r="G236" t="n">
        <v>0</v>
      </c>
      <c r="H236" t="n">
        <v>2</v>
      </c>
      <c r="I236" t="n">
        <v>0</v>
      </c>
      <c r="J236" t="n">
        <v>3</v>
      </c>
      <c r="K236" t="n">
        <v>1</v>
      </c>
      <c r="L236" t="n">
        <v>3</v>
      </c>
      <c r="M236" t="n">
        <v>12236.81006144524</v>
      </c>
      <c r="N236" t="n">
        <v>48.49357227557839</v>
      </c>
      <c r="O236">
        <f>IF(N236=0, 0, M236/N236)</f>
        <v/>
      </c>
      <c r="P236">
        <f>RANK(O236, O$2:O$518, 0)</f>
        <v/>
      </c>
      <c r="Q236">
        <f>SUM(C236,F236)</f>
        <v/>
      </c>
      <c r="R236">
        <f>SUM(Q236,G236,H236,D236,E236)</f>
        <v/>
      </c>
      <c r="S236">
        <f>SUM(R236,I236,J236,K236,L236)</f>
        <v/>
      </c>
      <c r="T236">
        <f>IF(R236=0, -1, Q236/R236)</f>
        <v/>
      </c>
      <c r="U236">
        <f>IF(S236=0, -1, Q236/S236)</f>
        <v/>
      </c>
      <c r="V236">
        <f>IF(S236=0, -1, R236/S236)</f>
        <v/>
      </c>
    </row>
    <row r="237">
      <c r="A237" t="inlineStr">
        <is>
          <t>RC00408</t>
        </is>
      </c>
      <c r="B237" t="inlineStr">
        <is>
          <t>阜阳师范大学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379.0693496660447</v>
      </c>
      <c r="N237" t="n">
        <v>5.318119993844216</v>
      </c>
      <c r="O237">
        <f>IF(N237=0, 0, M237/N237)</f>
        <v/>
      </c>
      <c r="P237">
        <f>RANK(O237, O$2:O$518, 0)</f>
        <v/>
      </c>
      <c r="Q237">
        <f>SUM(C237,F237)</f>
        <v/>
      </c>
      <c r="R237">
        <f>SUM(Q237,G237,H237,D237,E237)</f>
        <v/>
      </c>
      <c r="S237">
        <f>SUM(R237,I237,J237,K237,L237)</f>
        <v/>
      </c>
      <c r="T237">
        <f>IF(R237=0, -1, Q237/R237)</f>
        <v/>
      </c>
      <c r="U237">
        <f>IF(S237=0, -1, Q237/S237)</f>
        <v/>
      </c>
      <c r="V237">
        <f>IF(S237=0, -1, R237/S237)</f>
        <v/>
      </c>
    </row>
    <row r="238">
      <c r="A238" t="inlineStr">
        <is>
          <t>RC00571</t>
        </is>
      </c>
      <c r="B238" t="inlineStr">
        <is>
          <t>湖南中医药大学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1</v>
      </c>
      <c r="J238" t="n">
        <v>1</v>
      </c>
      <c r="K238" t="n">
        <v>1</v>
      </c>
      <c r="L238" t="n">
        <v>1</v>
      </c>
      <c r="M238" t="n">
        <v>2440.206509123412</v>
      </c>
      <c r="N238" t="n">
        <v>15.5172577884813</v>
      </c>
      <c r="O238">
        <f>IF(N238=0, 0, M238/N238)</f>
        <v/>
      </c>
      <c r="P238">
        <f>RANK(O238, O$2:O$518, 0)</f>
        <v/>
      </c>
      <c r="Q238">
        <f>SUM(C238,F238)</f>
        <v/>
      </c>
      <c r="R238">
        <f>SUM(Q238,G238,H238,D238,E238)</f>
        <v/>
      </c>
      <c r="S238">
        <f>SUM(R238,I238,J238,K238,L238)</f>
        <v/>
      </c>
      <c r="T238">
        <f>IF(R238=0, -1, Q238/R238)</f>
        <v/>
      </c>
      <c r="U238">
        <f>IF(S238=0, -1, Q238/S238)</f>
        <v/>
      </c>
      <c r="V238">
        <f>IF(S238=0, -1, R238/S238)</f>
        <v/>
      </c>
    </row>
    <row r="239">
      <c r="A239" t="inlineStr">
        <is>
          <t>RC00538</t>
        </is>
      </c>
      <c r="B239" t="inlineStr">
        <is>
          <t>武汉工程大学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1</v>
      </c>
      <c r="J239" t="n">
        <v>0</v>
      </c>
      <c r="K239" t="n">
        <v>1</v>
      </c>
      <c r="L239" t="n">
        <v>2</v>
      </c>
      <c r="M239" t="n">
        <v>1442.510016123273</v>
      </c>
      <c r="N239" t="n">
        <v>19.15202336225033</v>
      </c>
      <c r="O239">
        <f>IF(N239=0, 0, M239/N239)</f>
        <v/>
      </c>
      <c r="P239">
        <f>RANK(O239, O$2:O$518, 0)</f>
        <v/>
      </c>
      <c r="Q239">
        <f>SUM(C239,F239)</f>
        <v/>
      </c>
      <c r="R239">
        <f>SUM(Q239,G239,H239,D239,E239)</f>
        <v/>
      </c>
      <c r="S239">
        <f>SUM(R239,I239,J239,K239,L239)</f>
        <v/>
      </c>
      <c r="T239">
        <f>IF(R239=0, -1, Q239/R239)</f>
        <v/>
      </c>
      <c r="U239">
        <f>IF(S239=0, -1, Q239/S239)</f>
        <v/>
      </c>
      <c r="V239">
        <f>IF(S239=0, -1, R239/S239)</f>
        <v/>
      </c>
    </row>
    <row r="240">
      <c r="A240" t="inlineStr">
        <is>
          <t>RC00664</t>
        </is>
      </c>
      <c r="B240" t="inlineStr">
        <is>
          <t>西华大学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1</v>
      </c>
      <c r="L240" t="n">
        <v>3</v>
      </c>
      <c r="M240" t="n">
        <v>930.5951064552719</v>
      </c>
      <c r="N240" t="n">
        <v>18.17467237361493</v>
      </c>
      <c r="O240">
        <f>IF(N240=0, 0, M240/N240)</f>
        <v/>
      </c>
      <c r="P240">
        <f>RANK(O240, O$2:O$518, 0)</f>
        <v/>
      </c>
      <c r="Q240">
        <f>SUM(C240,F240)</f>
        <v/>
      </c>
      <c r="R240">
        <f>SUM(Q240,G240,H240,D240,E240)</f>
        <v/>
      </c>
      <c r="S240">
        <f>SUM(R240,I240,J240,K240,L240)</f>
        <v/>
      </c>
      <c r="T240">
        <f>IF(R240=0, -1, Q240/R240)</f>
        <v/>
      </c>
      <c r="U240">
        <f>IF(S240=0, -1, Q240/S240)</f>
        <v/>
      </c>
      <c r="V240">
        <f>IF(S240=0, -1, R240/S240)</f>
        <v/>
      </c>
    </row>
    <row r="241">
      <c r="A241" t="inlineStr">
        <is>
          <t>RC00382</t>
        </is>
      </c>
      <c r="B241" t="inlineStr">
        <is>
          <t>绍兴文理学院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1</v>
      </c>
      <c r="K241" t="n">
        <v>2</v>
      </c>
      <c r="L241" t="n">
        <v>2</v>
      </c>
      <c r="M241" t="n">
        <v>1379.01586325449</v>
      </c>
      <c r="N241" t="n">
        <v>23.27714920449089</v>
      </c>
      <c r="O241">
        <f>IF(N241=0, 0, M241/N241)</f>
        <v/>
      </c>
      <c r="P241">
        <f>RANK(O241, O$2:O$518, 0)</f>
        <v/>
      </c>
      <c r="Q241">
        <f>SUM(C241,F241)</f>
        <v/>
      </c>
      <c r="R241">
        <f>SUM(Q241,G241,H241,D241,E241)</f>
        <v/>
      </c>
      <c r="S241">
        <f>SUM(R241,I241,J241,K241,L241)</f>
        <v/>
      </c>
      <c r="T241">
        <f>IF(R241=0, -1, Q241/R241)</f>
        <v/>
      </c>
      <c r="U241">
        <f>IF(S241=0, -1, Q241/S241)</f>
        <v/>
      </c>
      <c r="V241">
        <f>IF(S241=0, -1, R241/S241)</f>
        <v/>
      </c>
    </row>
    <row r="242">
      <c r="A242" t="inlineStr">
        <is>
          <t>RC00733</t>
        </is>
      </c>
      <c r="B242" t="inlineStr">
        <is>
          <t>陕西科技大学</t>
        </is>
      </c>
      <c r="C242" t="n">
        <v>0</v>
      </c>
      <c r="D242" t="n">
        <v>1</v>
      </c>
      <c r="E242" t="n">
        <v>0</v>
      </c>
      <c r="F242" t="n">
        <v>0</v>
      </c>
      <c r="G242" t="n">
        <v>0</v>
      </c>
      <c r="H242" t="n">
        <v>1</v>
      </c>
      <c r="I242" t="n">
        <v>0</v>
      </c>
      <c r="J242" t="n">
        <v>1</v>
      </c>
      <c r="K242" t="n">
        <v>2</v>
      </c>
      <c r="L242" t="n">
        <v>4</v>
      </c>
      <c r="M242" t="n">
        <v>3986.70394414322</v>
      </c>
      <c r="N242" t="n">
        <v>40.17716821642387</v>
      </c>
      <c r="O242">
        <f>IF(N242=0, 0, M242/N242)</f>
        <v/>
      </c>
      <c r="P242">
        <f>RANK(O242, O$2:O$518, 0)</f>
        <v/>
      </c>
      <c r="Q242">
        <f>SUM(C242,F242)</f>
        <v/>
      </c>
      <c r="R242">
        <f>SUM(Q242,G242,H242,D242,E242)</f>
        <v/>
      </c>
      <c r="S242">
        <f>SUM(R242,I242,J242,K242,L242)</f>
        <v/>
      </c>
      <c r="T242">
        <f>IF(R242=0, -1, Q242/R242)</f>
        <v/>
      </c>
      <c r="U242">
        <f>IF(S242=0, -1, Q242/S242)</f>
        <v/>
      </c>
      <c r="V242">
        <f>IF(S242=0, -1, R242/S242)</f>
        <v/>
      </c>
    </row>
    <row r="243">
      <c r="A243" t="inlineStr">
        <is>
          <t>RC00182</t>
        </is>
      </c>
      <c r="B243" t="inlineStr">
        <is>
          <t>河北工业大学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2</v>
      </c>
      <c r="J243" t="n">
        <v>5</v>
      </c>
      <c r="K243" t="n">
        <v>5</v>
      </c>
      <c r="L243" t="n">
        <v>6</v>
      </c>
      <c r="M243" t="n">
        <v>6427.885202141288</v>
      </c>
      <c r="N243" t="n">
        <v>81.98592735700049</v>
      </c>
      <c r="O243">
        <f>IF(N243=0, 0, M243/N243)</f>
        <v/>
      </c>
      <c r="P243">
        <f>RANK(O243, O$2:O$518, 0)</f>
        <v/>
      </c>
      <c r="Q243">
        <f>SUM(C243,F243)</f>
        <v/>
      </c>
      <c r="R243">
        <f>SUM(Q243,G243,H243,D243,E243)</f>
        <v/>
      </c>
      <c r="S243">
        <f>SUM(R243,I243,J243,K243,L243)</f>
        <v/>
      </c>
      <c r="T243">
        <f>IF(R243=0, -1, Q243/R243)</f>
        <v/>
      </c>
      <c r="U243">
        <f>IF(S243=0, -1, Q243/S243)</f>
        <v/>
      </c>
      <c r="V243">
        <f>IF(S243=0, -1, R243/S243)</f>
        <v/>
      </c>
    </row>
    <row r="244">
      <c r="A244" t="inlineStr">
        <is>
          <t>RC00250</t>
        </is>
      </c>
      <c r="B244" t="inlineStr">
        <is>
          <t>辽宁石油化工大学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1</v>
      </c>
      <c r="K244" t="n">
        <v>1</v>
      </c>
      <c r="L244" t="n">
        <v>1</v>
      </c>
      <c r="M244" t="n">
        <v>935.6226066323383</v>
      </c>
      <c r="N244" t="n">
        <v>14.44410001720233</v>
      </c>
      <c r="O244">
        <f>IF(N244=0, 0, M244/N244)</f>
        <v/>
      </c>
      <c r="P244">
        <f>RANK(O244, O$2:O$518, 0)</f>
        <v/>
      </c>
      <c r="Q244">
        <f>SUM(C244,F244)</f>
        <v/>
      </c>
      <c r="R244">
        <f>SUM(Q244,G244,H244,D244,E244)</f>
        <v/>
      </c>
      <c r="S244">
        <f>SUM(R244,I244,J244,K244,L244)</f>
        <v/>
      </c>
      <c r="T244">
        <f>IF(R244=0, -1, Q244/R244)</f>
        <v/>
      </c>
      <c r="U244">
        <f>IF(S244=0, -1, Q244/S244)</f>
        <v/>
      </c>
      <c r="V244">
        <f>IF(S244=0, -1, R244/S244)</f>
        <v/>
      </c>
    </row>
    <row r="245">
      <c r="A245" t="inlineStr">
        <is>
          <t>RC00588</t>
        </is>
      </c>
      <c r="B245" t="inlineStr">
        <is>
          <t>湖南工业大学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</v>
      </c>
      <c r="I245" t="n">
        <v>0</v>
      </c>
      <c r="J245" t="n">
        <v>0</v>
      </c>
      <c r="K245" t="n">
        <v>0</v>
      </c>
      <c r="L245" t="n">
        <v>2</v>
      </c>
      <c r="M245" t="n">
        <v>1672.299600638324</v>
      </c>
      <c r="N245" t="n">
        <v>13.83631268559354</v>
      </c>
      <c r="O245">
        <f>IF(N245=0, 0, M245/N245)</f>
        <v/>
      </c>
      <c r="P245">
        <f>RANK(O245, O$2:O$518, 0)</f>
        <v/>
      </c>
      <c r="Q245">
        <f>SUM(C245,F245)</f>
        <v/>
      </c>
      <c r="R245">
        <f>SUM(Q245,G245,H245,D245,E245)</f>
        <v/>
      </c>
      <c r="S245">
        <f>SUM(R245,I245,J245,K245,L245)</f>
        <v/>
      </c>
      <c r="T245">
        <f>IF(R245=0, -1, Q245/R245)</f>
        <v/>
      </c>
      <c r="U245">
        <f>IF(S245=0, -1, Q245/S245)</f>
        <v/>
      </c>
      <c r="V245">
        <f>IF(S245=0, -1, R245/S245)</f>
        <v/>
      </c>
    </row>
    <row r="246">
      <c r="A246" t="inlineStr">
        <is>
          <t>RC00158</t>
        </is>
      </c>
      <c r="B246" t="inlineStr">
        <is>
          <t>北京联合大学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2</v>
      </c>
      <c r="K246" t="n">
        <v>0</v>
      </c>
      <c r="L246" t="n">
        <v>1</v>
      </c>
      <c r="M246" t="n">
        <v>1395.219552741352</v>
      </c>
      <c r="N246" t="n">
        <v>14.71825393745305</v>
      </c>
      <c r="O246">
        <f>IF(N246=0, 0, M246/N246)</f>
        <v/>
      </c>
      <c r="P246">
        <f>RANK(O246, O$2:O$518, 0)</f>
        <v/>
      </c>
      <c r="Q246">
        <f>SUM(C246,F246)</f>
        <v/>
      </c>
      <c r="R246">
        <f>SUM(Q246,G246,H246,D246,E246)</f>
        <v/>
      </c>
      <c r="S246">
        <f>SUM(R246,I246,J246,K246,L246)</f>
        <v/>
      </c>
      <c r="T246">
        <f>IF(R246=0, -1, Q246/R246)</f>
        <v/>
      </c>
      <c r="U246">
        <f>IF(S246=0, -1, Q246/S246)</f>
        <v/>
      </c>
      <c r="V246">
        <f>IF(S246=0, -1, R246/S246)</f>
        <v/>
      </c>
    </row>
    <row r="247">
      <c r="A247" t="inlineStr">
        <is>
          <t>RC00540</t>
        </is>
      </c>
      <c r="B247" t="inlineStr">
        <is>
          <t>武汉轻工大学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1</v>
      </c>
      <c r="K247" t="n">
        <v>1</v>
      </c>
      <c r="L247" t="n">
        <v>2</v>
      </c>
      <c r="M247" t="n">
        <v>1139.090082856863</v>
      </c>
      <c r="N247" t="n">
        <v>17.82318550297204</v>
      </c>
      <c r="O247">
        <f>IF(N247=0, 0, M247/N247)</f>
        <v/>
      </c>
      <c r="P247">
        <f>RANK(O247, O$2:O$518, 0)</f>
        <v/>
      </c>
      <c r="Q247">
        <f>SUM(C247,F247)</f>
        <v/>
      </c>
      <c r="R247">
        <f>SUM(Q247,G247,H247,D247,E247)</f>
        <v/>
      </c>
      <c r="S247">
        <f>SUM(R247,I247,J247,K247,L247)</f>
        <v/>
      </c>
      <c r="T247">
        <f>IF(R247=0, -1, Q247/R247)</f>
        <v/>
      </c>
      <c r="U247">
        <f>IF(S247=0, -1, Q247/S247)</f>
        <v/>
      </c>
      <c r="V247">
        <f>IF(S247=0, -1, R247/S247)</f>
        <v/>
      </c>
    </row>
    <row r="248">
      <c r="A248" t="inlineStr">
        <is>
          <t>RC00515</t>
        </is>
      </c>
      <c r="B248" t="inlineStr">
        <is>
          <t>信阳师范大学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2</v>
      </c>
      <c r="M248" t="n">
        <v>564.4650529976128</v>
      </c>
      <c r="N248" t="n">
        <v>10.34855791523665</v>
      </c>
      <c r="O248">
        <f>IF(N248=0, 0, M248/N248)</f>
        <v/>
      </c>
      <c r="P248">
        <f>RANK(O248, O$2:O$518, 0)</f>
        <v/>
      </c>
      <c r="Q248">
        <f>SUM(C248,F248)</f>
        <v/>
      </c>
      <c r="R248">
        <f>SUM(Q248,G248,H248,D248,E248)</f>
        <v/>
      </c>
      <c r="S248">
        <f>SUM(R248,I248,J248,K248,L248)</f>
        <v/>
      </c>
      <c r="T248">
        <f>IF(R248=0, -1, Q248/R248)</f>
        <v/>
      </c>
      <c r="U248">
        <f>IF(S248=0, -1, Q248/S248)</f>
        <v/>
      </c>
      <c r="V248">
        <f>IF(S248=0, -1, R248/S248)</f>
        <v/>
      </c>
    </row>
    <row r="249">
      <c r="A249" t="inlineStr">
        <is>
          <t>RC00778</t>
        </is>
      </c>
      <c r="B249" t="inlineStr">
        <is>
          <t>塔里木大学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3</v>
      </c>
      <c r="M249" t="n">
        <v>698.2584053481488</v>
      </c>
      <c r="N249" t="n">
        <v>13.52169773078217</v>
      </c>
      <c r="O249">
        <f>IF(N249=0, 0, M249/N249)</f>
        <v/>
      </c>
      <c r="P249">
        <f>RANK(O249, O$2:O$518, 0)</f>
        <v/>
      </c>
      <c r="Q249">
        <f>SUM(C249,F249)</f>
        <v/>
      </c>
      <c r="R249">
        <f>SUM(Q249,G249,H249,D249,E249)</f>
        <v/>
      </c>
      <c r="S249">
        <f>SUM(R249,I249,J249,K249,L249)</f>
        <v/>
      </c>
      <c r="T249">
        <f>IF(R249=0, -1, Q249/R249)</f>
        <v/>
      </c>
      <c r="U249">
        <f>IF(S249=0, -1, Q249/S249)</f>
        <v/>
      </c>
      <c r="V249">
        <f>IF(S249=0, -1, R249/S249)</f>
        <v/>
      </c>
    </row>
    <row r="250">
      <c r="A250" t="inlineStr">
        <is>
          <t>RC00508</t>
        </is>
      </c>
      <c r="B250" t="inlineStr">
        <is>
          <t>中原工学院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312.1747585485074</v>
      </c>
      <c r="N250" t="n">
        <v>5.318119993844216</v>
      </c>
      <c r="O250">
        <f>IF(N250=0, 0, M250/N250)</f>
        <v/>
      </c>
      <c r="P250">
        <f>RANK(O250, O$2:O$518, 0)</f>
        <v/>
      </c>
      <c r="Q250">
        <f>SUM(C250,F250)</f>
        <v/>
      </c>
      <c r="R250">
        <f>SUM(Q250,G250,H250,D250,E250)</f>
        <v/>
      </c>
      <c r="S250">
        <f>SUM(R250,I250,J250,K250,L250)</f>
        <v/>
      </c>
      <c r="T250">
        <f>IF(R250=0, -1, Q250/R250)</f>
        <v/>
      </c>
      <c r="U250">
        <f>IF(S250=0, -1, Q250/S250)</f>
        <v/>
      </c>
      <c r="V250">
        <f>IF(S250=0, -1, R250/S250)</f>
        <v/>
      </c>
    </row>
    <row r="251">
      <c r="A251" t="inlineStr">
        <is>
          <t>RC00045</t>
        </is>
      </c>
      <c r="B251" t="inlineStr">
        <is>
          <t>南京工业大学</t>
        </is>
      </c>
      <c r="C251" t="n">
        <v>0</v>
      </c>
      <c r="D251" t="n">
        <v>0</v>
      </c>
      <c r="E251" t="n">
        <v>0</v>
      </c>
      <c r="F251" t="n">
        <v>1</v>
      </c>
      <c r="G251" t="n">
        <v>0</v>
      </c>
      <c r="H251" t="n">
        <v>0</v>
      </c>
      <c r="I251" t="n">
        <v>1</v>
      </c>
      <c r="J251" t="n">
        <v>3</v>
      </c>
      <c r="K251" t="n">
        <v>7</v>
      </c>
      <c r="L251" t="n">
        <v>6</v>
      </c>
      <c r="M251" t="n">
        <v>9329.906378528049</v>
      </c>
      <c r="N251" t="n">
        <v>76.51449152042072</v>
      </c>
      <c r="O251">
        <f>IF(N251=0, 0, M251/N251)</f>
        <v/>
      </c>
      <c r="P251">
        <f>RANK(O251, O$2:O$518, 0)</f>
        <v/>
      </c>
      <c r="Q251">
        <f>SUM(C251,F251)</f>
        <v/>
      </c>
      <c r="R251">
        <f>SUM(Q251,G251,H251,D251,E251)</f>
        <v/>
      </c>
      <c r="S251">
        <f>SUM(R251,I251,J251,K251,L251)</f>
        <v/>
      </c>
      <c r="T251">
        <f>IF(R251=0, -1, Q251/R251)</f>
        <v/>
      </c>
      <c r="U251">
        <f>IF(S251=0, -1, Q251/S251)</f>
        <v/>
      </c>
      <c r="V251">
        <f>IF(S251=0, -1, R251/S251)</f>
        <v/>
      </c>
    </row>
    <row r="252">
      <c r="A252" t="inlineStr">
        <is>
          <t>RC00118</t>
        </is>
      </c>
      <c r="B252" t="inlineStr">
        <is>
          <t>南通大学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3</v>
      </c>
      <c r="K252" t="n">
        <v>5</v>
      </c>
      <c r="L252" t="n">
        <v>5</v>
      </c>
      <c r="M252" t="n">
        <v>4599.298784080276</v>
      </c>
      <c r="N252" t="n">
        <v>53.9393489588106</v>
      </c>
      <c r="O252">
        <f>IF(N252=0, 0, M252/N252)</f>
        <v/>
      </c>
      <c r="P252">
        <f>RANK(O252, O$2:O$518, 0)</f>
        <v/>
      </c>
      <c r="Q252">
        <f>SUM(C252,F252)</f>
        <v/>
      </c>
      <c r="R252">
        <f>SUM(Q252,G252,H252,D252,E252)</f>
        <v/>
      </c>
      <c r="S252">
        <f>SUM(R252,I252,J252,K252,L252)</f>
        <v/>
      </c>
      <c r="T252">
        <f>IF(R252=0, -1, Q252/R252)</f>
        <v/>
      </c>
      <c r="U252">
        <f>IF(S252=0, -1, Q252/S252)</f>
        <v/>
      </c>
      <c r="V252">
        <f>IF(S252=0, -1, R252/S252)</f>
        <v/>
      </c>
    </row>
    <row r="253">
      <c r="A253" t="inlineStr">
        <is>
          <t>RC00464</t>
        </is>
      </c>
      <c r="B253" t="inlineStr">
        <is>
          <t>青岛科技大学</t>
        </is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1</v>
      </c>
      <c r="I253" t="n">
        <v>0</v>
      </c>
      <c r="J253" t="n">
        <v>2</v>
      </c>
      <c r="K253" t="n">
        <v>2</v>
      </c>
      <c r="L253" t="n">
        <v>4</v>
      </c>
      <c r="M253" t="n">
        <v>3392.781318217747</v>
      </c>
      <c r="N253" t="n">
        <v>41.58178115806744</v>
      </c>
      <c r="O253">
        <f>IF(N253=0, 0, M253/N253)</f>
        <v/>
      </c>
      <c r="P253">
        <f>RANK(O253, O$2:O$518, 0)</f>
        <v/>
      </c>
      <c r="Q253">
        <f>SUM(C253,F253)</f>
        <v/>
      </c>
      <c r="R253">
        <f>SUM(Q253,G253,H253,D253,E253)</f>
        <v/>
      </c>
      <c r="S253">
        <f>SUM(R253,I253,J253,K253,L253)</f>
        <v/>
      </c>
      <c r="T253">
        <f>IF(R253=0, -1, Q253/R253)</f>
        <v/>
      </c>
      <c r="U253">
        <f>IF(S253=0, -1, Q253/S253)</f>
        <v/>
      </c>
      <c r="V253">
        <f>IF(S253=0, -1, R253/S253)</f>
        <v/>
      </c>
    </row>
    <row r="254">
      <c r="A254" t="inlineStr">
        <is>
          <t>RC00434</t>
        </is>
      </c>
      <c r="B254" t="inlineStr">
        <is>
          <t>闽南师范大学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1</v>
      </c>
      <c r="L254" t="n">
        <v>3</v>
      </c>
      <c r="M254" t="n">
        <v>1103.602707951696</v>
      </c>
      <c r="N254" t="n">
        <v>19.39943351256181</v>
      </c>
      <c r="O254">
        <f>IF(N254=0, 0, M254/N254)</f>
        <v/>
      </c>
      <c r="P254">
        <f>RANK(O254, O$2:O$518, 0)</f>
        <v/>
      </c>
      <c r="Q254">
        <f>SUM(C254,F254)</f>
        <v/>
      </c>
      <c r="R254">
        <f>SUM(Q254,G254,H254,D254,E254)</f>
        <v/>
      </c>
      <c r="S254">
        <f>SUM(R254,I254,J254,K254,L254)</f>
        <v/>
      </c>
      <c r="T254">
        <f>IF(R254=0, -1, Q254/R254)</f>
        <v/>
      </c>
      <c r="U254">
        <f>IF(S254=0, -1, Q254/S254)</f>
        <v/>
      </c>
      <c r="V254">
        <f>IF(S254=0, -1, R254/S254)</f>
        <v/>
      </c>
    </row>
    <row r="255">
      <c r="A255" t="inlineStr">
        <is>
          <t>RC00186</t>
        </is>
      </c>
      <c r="B255" t="inlineStr">
        <is>
          <t>河北农业大学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3</v>
      </c>
      <c r="K255" t="n">
        <v>2</v>
      </c>
      <c r="L255" t="n">
        <v>3</v>
      </c>
      <c r="M255" t="n">
        <v>2845.882096414269</v>
      </c>
      <c r="N255" t="n">
        <v>30.13212585646929</v>
      </c>
      <c r="O255">
        <f>IF(N255=0, 0, M255/N255)</f>
        <v/>
      </c>
      <c r="P255">
        <f>RANK(O255, O$2:O$518, 0)</f>
        <v/>
      </c>
      <c r="Q255">
        <f>SUM(C255,F255)</f>
        <v/>
      </c>
      <c r="R255">
        <f>SUM(Q255,G255,H255,D255,E255)</f>
        <v/>
      </c>
      <c r="S255">
        <f>SUM(R255,I255,J255,K255,L255)</f>
        <v/>
      </c>
      <c r="T255">
        <f>IF(R255=0, -1, Q255/R255)</f>
        <v/>
      </c>
      <c r="U255">
        <f>IF(S255=0, -1, Q255/S255)</f>
        <v/>
      </c>
      <c r="V255">
        <f>IF(S255=0, -1, R255/S255)</f>
        <v/>
      </c>
    </row>
    <row r="256">
      <c r="A256" t="inlineStr">
        <is>
          <t>RC00513</t>
        </is>
      </c>
      <c r="B256" t="inlineStr">
        <is>
          <t>河南医药大学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4</v>
      </c>
      <c r="M256" t="n">
        <v>963.3729845432617</v>
      </c>
      <c r="N256" t="n">
        <v>17.36636855418082</v>
      </c>
      <c r="O256">
        <f>IF(N256=0, 0, M256/N256)</f>
        <v/>
      </c>
      <c r="P256">
        <f>RANK(O256, O$2:O$518, 0)</f>
        <v/>
      </c>
      <c r="Q256">
        <f>SUM(C256,F256)</f>
        <v/>
      </c>
      <c r="R256">
        <f>SUM(Q256,G256,H256,D256,E256)</f>
        <v/>
      </c>
      <c r="S256">
        <f>SUM(R256,I256,J256,K256,L256)</f>
        <v/>
      </c>
      <c r="T256">
        <f>IF(R256=0, -1, Q256/R256)</f>
        <v/>
      </c>
      <c r="U256">
        <f>IF(S256=0, -1, Q256/S256)</f>
        <v/>
      </c>
      <c r="V256">
        <f>IF(S256=0, -1, R256/S256)</f>
        <v/>
      </c>
    </row>
    <row r="257">
      <c r="A257" t="inlineStr">
        <is>
          <t>RC00468</t>
        </is>
      </c>
      <c r="B257" t="inlineStr">
        <is>
          <t>齐鲁工业大学</t>
        </is>
      </c>
      <c r="C257" t="n">
        <v>0</v>
      </c>
      <c r="D257" t="n">
        <v>0</v>
      </c>
      <c r="E257" t="n">
        <v>1</v>
      </c>
      <c r="F257" t="n">
        <v>0</v>
      </c>
      <c r="G257" t="n">
        <v>0</v>
      </c>
      <c r="H257" t="n">
        <v>1</v>
      </c>
      <c r="I257" t="n">
        <v>0</v>
      </c>
      <c r="J257" t="n">
        <v>0</v>
      </c>
      <c r="K257" t="n">
        <v>3</v>
      </c>
      <c r="L257" t="n">
        <v>9</v>
      </c>
      <c r="M257" t="n">
        <v>5271.149695841654</v>
      </c>
      <c r="N257" t="n">
        <v>62.81138720544801</v>
      </c>
      <c r="O257">
        <f>IF(N257=0, 0, M257/N257)</f>
        <v/>
      </c>
      <c r="P257">
        <f>RANK(O257, O$2:O$518, 0)</f>
        <v/>
      </c>
      <c r="Q257">
        <f>SUM(C257,F257)</f>
        <v/>
      </c>
      <c r="R257">
        <f>SUM(Q257,G257,H257,D257,E257)</f>
        <v/>
      </c>
      <c r="S257">
        <f>SUM(R257,I257,J257,K257,L257)</f>
        <v/>
      </c>
      <c r="T257">
        <f>IF(R257=0, -1, Q257/R257)</f>
        <v/>
      </c>
      <c r="U257">
        <f>IF(S257=0, -1, Q257/S257)</f>
        <v/>
      </c>
      <c r="V257">
        <f>IF(S257=0, -1, R257/S257)</f>
        <v/>
      </c>
    </row>
    <row r="258">
      <c r="A258" t="inlineStr">
        <is>
          <t>RC00381</t>
        </is>
      </c>
      <c r="B258" t="inlineStr">
        <is>
          <t>湖州师范学院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3</v>
      </c>
      <c r="L258" t="n">
        <v>3</v>
      </c>
      <c r="M258" t="n">
        <v>1343.611207305848</v>
      </c>
      <c r="N258" t="n">
        <v>25.4706821689452</v>
      </c>
      <c r="O258">
        <f>IF(N258=0, 0, M258/N258)</f>
        <v/>
      </c>
      <c r="P258">
        <f>RANK(O258, O$2:O$518, 0)</f>
        <v/>
      </c>
      <c r="Q258">
        <f>SUM(C258,F258)</f>
        <v/>
      </c>
      <c r="R258">
        <f>SUM(Q258,G258,H258,D258,E258)</f>
        <v/>
      </c>
      <c r="S258">
        <f>SUM(R258,I258,J258,K258,L258)</f>
        <v/>
      </c>
      <c r="T258">
        <f>IF(R258=0, -1, Q258/R258)</f>
        <v/>
      </c>
      <c r="U258">
        <f>IF(S258=0, -1, Q258/S258)</f>
        <v/>
      </c>
      <c r="V258">
        <f>IF(S258=0, -1, R258/S258)</f>
        <v/>
      </c>
    </row>
    <row r="259">
      <c r="A259" t="inlineStr">
        <is>
          <t>RC00544</t>
        </is>
      </c>
      <c r="B259" t="inlineStr">
        <is>
          <t>湖北师范大学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</v>
      </c>
      <c r="L259" t="n">
        <v>2</v>
      </c>
      <c r="M259" t="n">
        <v>640.8820310509344</v>
      </c>
      <c r="N259" t="n">
        <v>13.09211033423331</v>
      </c>
      <c r="O259">
        <f>IF(N259=0, 0, M259/N259)</f>
        <v/>
      </c>
      <c r="P259">
        <f>RANK(O259, O$2:O$518, 0)</f>
        <v/>
      </c>
      <c r="Q259">
        <f>SUM(C259,F259)</f>
        <v/>
      </c>
      <c r="R259">
        <f>SUM(Q259,G259,H259,D259,E259)</f>
        <v/>
      </c>
      <c r="S259">
        <f>SUM(R259,I259,J259,K259,L259)</f>
        <v/>
      </c>
      <c r="T259">
        <f>IF(R259=0, -1, Q259/R259)</f>
        <v/>
      </c>
      <c r="U259">
        <f>IF(S259=0, -1, Q259/S259)</f>
        <v/>
      </c>
      <c r="V259">
        <f>IF(S259=0, -1, R259/S259)</f>
        <v/>
      </c>
    </row>
    <row r="260">
      <c r="A260" t="inlineStr">
        <is>
          <t>RC00263</t>
        </is>
      </c>
      <c r="B260" t="inlineStr">
        <is>
          <t>辽宁师范大学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1</v>
      </c>
      <c r="J260" t="n">
        <v>0</v>
      </c>
      <c r="K260" t="n">
        <v>3</v>
      </c>
      <c r="L260" t="n">
        <v>2</v>
      </c>
      <c r="M260" t="n">
        <v>1304.500852156618</v>
      </c>
      <c r="N260" t="n">
        <v>25.37673123797015</v>
      </c>
      <c r="O260">
        <f>IF(N260=0, 0, M260/N260)</f>
        <v/>
      </c>
      <c r="P260">
        <f>RANK(O260, O$2:O$518, 0)</f>
        <v/>
      </c>
      <c r="Q260">
        <f>SUM(C260,F260)</f>
        <v/>
      </c>
      <c r="R260">
        <f>SUM(Q260,G260,H260,D260,E260)</f>
        <v/>
      </c>
      <c r="S260">
        <f>SUM(R260,I260,J260,K260,L260)</f>
        <v/>
      </c>
      <c r="T260">
        <f>IF(R260=0, -1, Q260/R260)</f>
        <v/>
      </c>
      <c r="U260">
        <f>IF(S260=0, -1, Q260/S260)</f>
        <v/>
      </c>
      <c r="V260">
        <f>IF(S260=0, -1, R260/S260)</f>
        <v/>
      </c>
    </row>
    <row r="261">
      <c r="A261" t="inlineStr">
        <is>
          <t>RC00776</t>
        </is>
      </c>
      <c r="B261" t="inlineStr">
        <is>
          <t>宁夏师范大学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162.6023419945229</v>
      </c>
      <c r="N261" t="n">
        <v>4.343805421853684</v>
      </c>
      <c r="O261">
        <f>IF(N261=0, 0, M261/N261)</f>
        <v/>
      </c>
      <c r="P261">
        <f>RANK(O261, O$2:O$518, 0)</f>
        <v/>
      </c>
      <c r="Q261">
        <f>SUM(C261,F261)</f>
        <v/>
      </c>
      <c r="R261">
        <f>SUM(Q261,G261,H261,D261,E261)</f>
        <v/>
      </c>
      <c r="S261">
        <f>SUM(R261,I261,J261,K261,L261)</f>
        <v/>
      </c>
      <c r="T261">
        <f>IF(R261=0, -1, Q261/R261)</f>
        <v/>
      </c>
      <c r="U261">
        <f>IF(S261=0, -1, Q261/S261)</f>
        <v/>
      </c>
      <c r="V261">
        <f>IF(S261=0, -1, R261/S261)</f>
        <v/>
      </c>
    </row>
    <row r="262">
      <c r="A262" t="inlineStr">
        <is>
          <t>RC00482</t>
        </is>
      </c>
      <c r="B262" t="inlineStr">
        <is>
          <t>鲁东大学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1</v>
      </c>
      <c r="J262" t="n">
        <v>0</v>
      </c>
      <c r="K262" t="n">
        <v>3</v>
      </c>
      <c r="L262" t="n">
        <v>3</v>
      </c>
      <c r="M262" t="n">
        <v>2245.908906117263</v>
      </c>
      <c r="N262" t="n">
        <v>28.96714939888653</v>
      </c>
      <c r="O262">
        <f>IF(N262=0, 0, M262/N262)</f>
        <v/>
      </c>
      <c r="P262">
        <f>RANK(O262, O$2:O$518, 0)</f>
        <v/>
      </c>
      <c r="Q262">
        <f>SUM(C262,F262)</f>
        <v/>
      </c>
      <c r="R262">
        <f>SUM(Q262,G262,H262,D262,E262)</f>
        <v/>
      </c>
      <c r="S262">
        <f>SUM(R262,I262,J262,K262,L262)</f>
        <v/>
      </c>
      <c r="T262">
        <f>IF(R262=0, -1, Q262/R262)</f>
        <v/>
      </c>
      <c r="U262">
        <f>IF(S262=0, -1, Q262/S262)</f>
        <v/>
      </c>
      <c r="V262">
        <f>IF(S262=0, -1, R262/S262)</f>
        <v/>
      </c>
    </row>
    <row r="263">
      <c r="A263" t="inlineStr">
        <is>
          <t>RC00606</t>
        </is>
      </c>
      <c r="B263" t="inlineStr">
        <is>
          <t>广东技术师范大学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116.1445299960878</v>
      </c>
      <c r="N263" t="n">
        <v>4.343805421853684</v>
      </c>
      <c r="O263">
        <f>IF(N263=0, 0, M263/N263)</f>
        <v/>
      </c>
      <c r="P263">
        <f>RANK(O263, O$2:O$518, 0)</f>
        <v/>
      </c>
      <c r="Q263">
        <f>SUM(C263,F263)</f>
        <v/>
      </c>
      <c r="R263">
        <f>SUM(Q263,G263,H263,D263,E263)</f>
        <v/>
      </c>
      <c r="S263">
        <f>SUM(R263,I263,J263,K263,L263)</f>
        <v/>
      </c>
      <c r="T263">
        <f>IF(R263=0, -1, Q263/R263)</f>
        <v/>
      </c>
      <c r="U263">
        <f>IF(S263=0, -1, Q263/S263)</f>
        <v/>
      </c>
      <c r="V263">
        <f>IF(S263=0, -1, R263/S263)</f>
        <v/>
      </c>
    </row>
    <row r="264">
      <c r="A264" t="inlineStr">
        <is>
          <t>RC00360</t>
        </is>
      </c>
      <c r="B264" t="inlineStr">
        <is>
          <t>苏州科技大学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1</v>
      </c>
      <c r="K264" t="n">
        <v>4</v>
      </c>
      <c r="L264" t="n">
        <v>4</v>
      </c>
      <c r="M264" t="n">
        <v>1630.769205672305</v>
      </c>
      <c r="N264" t="n">
        <v>37.81860215481789</v>
      </c>
      <c r="O264">
        <f>IF(N264=0, 0, M264/N264)</f>
        <v/>
      </c>
      <c r="P264">
        <f>RANK(O264, O$2:O$518, 0)</f>
        <v/>
      </c>
      <c r="Q264">
        <f>SUM(C264,F264)</f>
        <v/>
      </c>
      <c r="R264">
        <f>SUM(Q264,G264,H264,D264,E264)</f>
        <v/>
      </c>
      <c r="S264">
        <f>SUM(R264,I264,J264,K264,L264)</f>
        <v/>
      </c>
      <c r="T264">
        <f>IF(R264=0, -1, Q264/R264)</f>
        <v/>
      </c>
      <c r="U264">
        <f>IF(S264=0, -1, Q264/S264)</f>
        <v/>
      </c>
      <c r="V264">
        <f>IF(S264=0, -1, R264/S264)</f>
        <v/>
      </c>
    </row>
    <row r="265">
      <c r="A265" t="inlineStr">
        <is>
          <t>RC00062</t>
        </is>
      </c>
      <c r="B265" t="inlineStr">
        <is>
          <t>南方医科大学</t>
        </is>
      </c>
      <c r="C265" t="n">
        <v>1</v>
      </c>
      <c r="D265" t="n">
        <v>0</v>
      </c>
      <c r="E265" t="n">
        <v>0</v>
      </c>
      <c r="F265" t="n">
        <v>0</v>
      </c>
      <c r="G265" t="n">
        <v>1</v>
      </c>
      <c r="H265" t="n">
        <v>3</v>
      </c>
      <c r="I265" t="n">
        <v>4</v>
      </c>
      <c r="J265" t="n">
        <v>0</v>
      </c>
      <c r="K265" t="n">
        <v>3</v>
      </c>
      <c r="L265" t="n">
        <v>2</v>
      </c>
      <c r="M265" t="n">
        <v>14895.57116091417</v>
      </c>
      <c r="N265" t="n">
        <v>51.94006499420333</v>
      </c>
      <c r="O265">
        <f>IF(N265=0, 0, M265/N265)</f>
        <v/>
      </c>
      <c r="P265">
        <f>RANK(O265, O$2:O$518, 0)</f>
        <v/>
      </c>
      <c r="Q265">
        <f>SUM(C265,F265)</f>
        <v/>
      </c>
      <c r="R265">
        <f>SUM(Q265,G265,H265,D265,E265)</f>
        <v/>
      </c>
      <c r="S265">
        <f>SUM(R265,I265,J265,K265,L265)</f>
        <v/>
      </c>
      <c r="T265">
        <f>IF(R265=0, -1, Q265/R265)</f>
        <v/>
      </c>
      <c r="U265">
        <f>IF(S265=0, -1, Q265/S265)</f>
        <v/>
      </c>
      <c r="V265">
        <f>IF(S265=0, -1, R265/S265)</f>
        <v/>
      </c>
    </row>
    <row r="266">
      <c r="A266" t="inlineStr">
        <is>
          <t>RC00339</t>
        </is>
      </c>
      <c r="B266" t="inlineStr">
        <is>
          <t>上海体育大学</t>
        </is>
      </c>
      <c r="C266" t="n">
        <v>0</v>
      </c>
      <c r="D266" t="n">
        <v>0</v>
      </c>
      <c r="E266" t="n">
        <v>0</v>
      </c>
      <c r="F266" t="n">
        <v>1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4106.95886054825</v>
      </c>
      <c r="N266" t="n">
        <v>8.032684875967622</v>
      </c>
      <c r="O266">
        <f>IF(N266=0, 0, M266/N266)</f>
        <v/>
      </c>
      <c r="P266">
        <f>RANK(O266, O$2:O$518, 0)</f>
        <v/>
      </c>
      <c r="Q266">
        <f>SUM(C266,F266)</f>
        <v/>
      </c>
      <c r="R266">
        <f>SUM(Q266,G266,H266,D266,E266)</f>
        <v/>
      </c>
      <c r="S266">
        <f>SUM(R266,I266,J266,K266,L266)</f>
        <v/>
      </c>
      <c r="T266">
        <f>IF(R266=0, -1, Q266/R266)</f>
        <v/>
      </c>
      <c r="U266">
        <f>IF(S266=0, -1, Q266/S266)</f>
        <v/>
      </c>
      <c r="V266">
        <f>IF(S266=0, -1, R266/S266)</f>
        <v/>
      </c>
    </row>
    <row r="267">
      <c r="A267" t="inlineStr">
        <is>
          <t>RC00146</t>
        </is>
      </c>
      <c r="B267" t="inlineStr">
        <is>
          <t>北京体育大学</t>
        </is>
      </c>
      <c r="C267" t="n">
        <v>0</v>
      </c>
      <c r="D267" t="n">
        <v>0</v>
      </c>
      <c r="E267" t="n">
        <v>0</v>
      </c>
      <c r="F267" t="n">
        <v>1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3027.240552832506</v>
      </c>
      <c r="N267" t="n">
        <v>4.007333185232471</v>
      </c>
      <c r="O267">
        <f>IF(N267=0, 0, M267/N267)</f>
        <v/>
      </c>
      <c r="P267">
        <f>RANK(O267, O$2:O$518, 0)</f>
        <v/>
      </c>
      <c r="Q267">
        <f>SUM(C267,F267)</f>
        <v/>
      </c>
      <c r="R267">
        <f>SUM(Q267,G267,H267,D267,E267)</f>
        <v/>
      </c>
      <c r="S267">
        <f>SUM(R267,I267,J267,K267,L267)</f>
        <v/>
      </c>
      <c r="T267">
        <f>IF(R267=0, -1, Q267/R267)</f>
        <v/>
      </c>
      <c r="U267">
        <f>IF(S267=0, -1, Q267/S267)</f>
        <v/>
      </c>
      <c r="V267">
        <f>IF(S267=0, -1, R267/S267)</f>
        <v/>
      </c>
    </row>
    <row r="268">
      <c r="A268" t="inlineStr">
        <is>
          <t>RC00549</t>
        </is>
      </c>
      <c r="B268" t="inlineStr">
        <is>
          <t>武汉体育学院</t>
        </is>
      </c>
      <c r="C268" t="n">
        <v>0</v>
      </c>
      <c r="D268" t="n">
        <v>0</v>
      </c>
      <c r="E268" t="n">
        <v>0</v>
      </c>
      <c r="F268" t="n">
        <v>0</v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1619.385668401861</v>
      </c>
      <c r="N268" t="n">
        <v>4.007333185232471</v>
      </c>
      <c r="O268">
        <f>IF(N268=0, 0, M268/N268)</f>
        <v/>
      </c>
      <c r="P268">
        <f>RANK(O268, O$2:O$518, 0)</f>
        <v/>
      </c>
      <c r="Q268">
        <f>SUM(C268,F268)</f>
        <v/>
      </c>
      <c r="R268">
        <f>SUM(Q268,G268,H268,D268,E268)</f>
        <v/>
      </c>
      <c r="S268">
        <f>SUM(R268,I268,J268,K268,L268)</f>
        <v/>
      </c>
      <c r="T268">
        <f>IF(R268=0, -1, Q268/R268)</f>
        <v/>
      </c>
      <c r="U268">
        <f>IF(S268=0, -1, Q268/S268)</f>
        <v/>
      </c>
      <c r="V268">
        <f>IF(S268=0, -1, R268/S268)</f>
        <v/>
      </c>
    </row>
    <row r="269">
      <c r="A269" t="inlineStr">
        <is>
          <t>RC00134</t>
        </is>
      </c>
      <c r="B269" t="inlineStr">
        <is>
          <t>首都体育学院</t>
        </is>
      </c>
      <c r="C269" t="n">
        <v>0</v>
      </c>
      <c r="D269" t="n">
        <v>0</v>
      </c>
      <c r="E269" t="n">
        <v>0</v>
      </c>
      <c r="F269" t="n">
        <v>0</v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1191.623416371181</v>
      </c>
      <c r="N269" t="n">
        <v>4.007333185232471</v>
      </c>
      <c r="O269">
        <f>IF(N269=0, 0, M269/N269)</f>
        <v/>
      </c>
      <c r="P269">
        <f>RANK(O269, O$2:O$518, 0)</f>
        <v/>
      </c>
      <c r="Q269">
        <f>SUM(C269,F269)</f>
        <v/>
      </c>
      <c r="R269">
        <f>SUM(Q269,G269,H269,D269,E269)</f>
        <v/>
      </c>
      <c r="S269">
        <f>SUM(R269,I269,J269,K269,L269)</f>
        <v/>
      </c>
      <c r="T269">
        <f>IF(R269=0, -1, Q269/R269)</f>
        <v/>
      </c>
      <c r="U269">
        <f>IF(S269=0, -1, Q269/S269)</f>
        <v/>
      </c>
      <c r="V269">
        <f>IF(S269=0, -1, R269/S269)</f>
        <v/>
      </c>
    </row>
    <row r="270">
      <c r="A270" t="inlineStr">
        <is>
          <t>RC00677</t>
        </is>
      </c>
      <c r="B270" t="inlineStr">
        <is>
          <t>成都体育学院</t>
        </is>
      </c>
      <c r="C270" t="n">
        <v>0</v>
      </c>
      <c r="D270" t="n">
        <v>0</v>
      </c>
      <c r="E270" t="n">
        <v>0</v>
      </c>
      <c r="F270" t="n">
        <v>0</v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998.895368752962</v>
      </c>
      <c r="N270" t="n">
        <v>4.007333185232471</v>
      </c>
      <c r="O270">
        <f>IF(N270=0, 0, M270/N270)</f>
        <v/>
      </c>
      <c r="P270">
        <f>RANK(O270, O$2:O$518, 0)</f>
        <v/>
      </c>
      <c r="Q270">
        <f>SUM(C270,F270)</f>
        <v/>
      </c>
      <c r="R270">
        <f>SUM(Q270,G270,H270,D270,E270)</f>
        <v/>
      </c>
      <c r="S270">
        <f>SUM(R270,I270,J270,K270,L270)</f>
        <v/>
      </c>
      <c r="T270">
        <f>IF(R270=0, -1, Q270/R270)</f>
        <v/>
      </c>
      <c r="U270">
        <f>IF(S270=0, -1, Q270/S270)</f>
        <v/>
      </c>
      <c r="V270">
        <f>IF(S270=0, -1, R270/S270)</f>
        <v/>
      </c>
    </row>
    <row r="271">
      <c r="A271" t="inlineStr">
        <is>
          <t>RC00270</t>
        </is>
      </c>
      <c r="B271" t="inlineStr">
        <is>
          <t>沈阳体育学院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594.6365371635279</v>
      </c>
      <c r="N271" t="n">
        <v>4.007333185232471</v>
      </c>
      <c r="O271">
        <f>IF(N271=0, 0, M271/N271)</f>
        <v/>
      </c>
      <c r="P271">
        <f>RANK(O271, O$2:O$518, 0)</f>
        <v/>
      </c>
      <c r="Q271">
        <f>SUM(C271,F271)</f>
        <v/>
      </c>
      <c r="R271">
        <f>SUM(Q271,G271,H271,D271,E271)</f>
        <v/>
      </c>
      <c r="S271">
        <f>SUM(R271,I271,J271,K271,L271)</f>
        <v/>
      </c>
      <c r="T271">
        <f>IF(R271=0, -1, Q271/R271)</f>
        <v/>
      </c>
      <c r="U271">
        <f>IF(S271=0, -1, Q271/S271)</f>
        <v/>
      </c>
      <c r="V271">
        <f>IF(S271=0, -1, R271/S271)</f>
        <v/>
      </c>
    </row>
    <row r="272">
      <c r="A272" t="inlineStr">
        <is>
          <t>RC00358</t>
        </is>
      </c>
      <c r="B272" t="inlineStr">
        <is>
          <t>南京体育学院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589.9358530752787</v>
      </c>
      <c r="N272" t="n">
        <v>4.007333185232471</v>
      </c>
      <c r="O272">
        <f>IF(N272=0, 0, M272/N272)</f>
        <v/>
      </c>
      <c r="P272">
        <f>RANK(O272, O$2:O$518, 0)</f>
        <v/>
      </c>
      <c r="Q272">
        <f>SUM(C272,F272)</f>
        <v/>
      </c>
      <c r="R272">
        <f>SUM(Q272,G272,H272,D272,E272)</f>
        <v/>
      </c>
      <c r="S272">
        <f>SUM(R272,I272,J272,K272,L272)</f>
        <v/>
      </c>
      <c r="T272">
        <f>IF(R272=0, -1, Q272/R272)</f>
        <v/>
      </c>
      <c r="U272">
        <f>IF(S272=0, -1, Q272/S272)</f>
        <v/>
      </c>
      <c r="V272">
        <f>IF(S272=0, -1, R272/S272)</f>
        <v/>
      </c>
    </row>
    <row r="273">
      <c r="A273" t="inlineStr">
        <is>
          <t>RC00603</t>
        </is>
      </c>
      <c r="B273" t="inlineStr">
        <is>
          <t>广州体育学院</t>
        </is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538.2283281045371</v>
      </c>
      <c r="N273" t="n">
        <v>4.007333185232471</v>
      </c>
      <c r="O273">
        <f>IF(N273=0, 0, M273/N273)</f>
        <v/>
      </c>
      <c r="P273">
        <f>RANK(O273, O$2:O$518, 0)</f>
        <v/>
      </c>
      <c r="Q273">
        <f>SUM(C273,F273)</f>
        <v/>
      </c>
      <c r="R273">
        <f>SUM(Q273,G273,H273,D273,E273)</f>
        <v/>
      </c>
      <c r="S273">
        <f>SUM(R273,I273,J273,K273,L273)</f>
        <v/>
      </c>
      <c r="T273">
        <f>IF(R273=0, -1, Q273/R273)</f>
        <v/>
      </c>
      <c r="U273">
        <f>IF(S273=0, -1, Q273/S273)</f>
        <v/>
      </c>
      <c r="V273">
        <f>IF(S273=0, -1, R273/S273)</f>
        <v/>
      </c>
    </row>
    <row r="274">
      <c r="A274" t="inlineStr">
        <is>
          <t>RC00488</t>
        </is>
      </c>
      <c r="B274" t="inlineStr">
        <is>
          <t>山东体育学院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507.6738815309172</v>
      </c>
      <c r="N274" t="n">
        <v>4.007333185232471</v>
      </c>
      <c r="O274">
        <f>IF(N274=0, 0, M274/N274)</f>
        <v/>
      </c>
      <c r="P274">
        <f>RANK(O274, O$2:O$518, 0)</f>
        <v/>
      </c>
      <c r="Q274">
        <f>SUM(C274,F274)</f>
        <v/>
      </c>
      <c r="R274">
        <f>SUM(Q274,G274,H274,D274,E274)</f>
        <v/>
      </c>
      <c r="S274">
        <f>SUM(R274,I274,J274,K274,L274)</f>
        <v/>
      </c>
      <c r="T274">
        <f>IF(R274=0, -1, Q274/R274)</f>
        <v/>
      </c>
      <c r="U274">
        <f>IF(S274=0, -1, Q274/S274)</f>
        <v/>
      </c>
      <c r="V274">
        <f>IF(S274=0, -1, R274/S274)</f>
        <v/>
      </c>
    </row>
    <row r="275">
      <c r="A275" t="inlineStr">
        <is>
          <t>RC00743</t>
        </is>
      </c>
      <c r="B275" t="inlineStr">
        <is>
          <t>西安体育学院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385.4560952364371</v>
      </c>
      <c r="N275" t="n">
        <v>4.007333185232471</v>
      </c>
      <c r="O275">
        <f>IF(N275=0, 0, M275/N275)</f>
        <v/>
      </c>
      <c r="P275">
        <f>RANK(O275, O$2:O$518, 0)</f>
        <v/>
      </c>
      <c r="Q275">
        <f>SUM(C275,F275)</f>
        <v/>
      </c>
      <c r="R275">
        <f>SUM(Q275,G275,H275,D275,E275)</f>
        <v/>
      </c>
      <c r="S275">
        <f>SUM(R275,I275,J275,K275,L275)</f>
        <v/>
      </c>
      <c r="T275">
        <f>IF(R275=0, -1, Q275/R275)</f>
        <v/>
      </c>
      <c r="U275">
        <f>IF(S275=0, -1, Q275/S275)</f>
        <v/>
      </c>
      <c r="V275">
        <f>IF(S275=0, -1, R275/S275)</f>
        <v/>
      </c>
    </row>
    <row r="276">
      <c r="A276" t="inlineStr">
        <is>
          <t>RC00175</t>
        </is>
      </c>
      <c r="B276" t="inlineStr">
        <is>
          <t>天津体育学院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366.6533588834401</v>
      </c>
      <c r="N276" t="n">
        <v>4.007333185232471</v>
      </c>
      <c r="O276">
        <f>IF(N276=0, 0, M276/N276)</f>
        <v/>
      </c>
      <c r="P276">
        <f>RANK(O276, O$2:O$518, 0)</f>
        <v/>
      </c>
      <c r="Q276">
        <f>SUM(C276,F276)</f>
        <v/>
      </c>
      <c r="R276">
        <f>SUM(Q276,G276,H276,D276,E276)</f>
        <v/>
      </c>
      <c r="S276">
        <f>SUM(R276,I276,J276,K276,L276)</f>
        <v/>
      </c>
      <c r="T276">
        <f>IF(R276=0, -1, Q276/R276)</f>
        <v/>
      </c>
      <c r="U276">
        <f>IF(S276=0, -1, Q276/S276)</f>
        <v/>
      </c>
      <c r="V276">
        <f>IF(S276=0, -1, R276/S276)</f>
        <v/>
      </c>
    </row>
    <row r="277">
      <c r="A277" t="inlineStr">
        <is>
          <t>RC00296</t>
        </is>
      </c>
      <c r="B277" t="inlineStr">
        <is>
          <t>吉林体育学院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282.041045294954</v>
      </c>
      <c r="N277" t="n">
        <v>4.007333185232471</v>
      </c>
      <c r="O277">
        <f>IF(N277=0, 0, M277/N277)</f>
        <v/>
      </c>
      <c r="P277">
        <f>RANK(O277, O$2:O$518, 0)</f>
        <v/>
      </c>
      <c r="Q277">
        <f>SUM(C277,F277)</f>
        <v/>
      </c>
      <c r="R277">
        <f>SUM(Q277,G277,H277,D277,E277)</f>
        <v/>
      </c>
      <c r="S277">
        <f>SUM(R277,I277,J277,K277,L277)</f>
        <v/>
      </c>
      <c r="T277">
        <f>IF(R277=0, -1, Q277/R277)</f>
        <v/>
      </c>
      <c r="U277">
        <f>IF(S277=0, -1, Q277/S277)</f>
        <v/>
      </c>
      <c r="V277">
        <f>IF(S277=0, -1, R277/S277)</f>
        <v/>
      </c>
    </row>
    <row r="278">
      <c r="A278" t="inlineStr">
        <is>
          <t>RC00566</t>
        </is>
      </c>
      <c r="B278" t="inlineStr">
        <is>
          <t>吉首大学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1</v>
      </c>
      <c r="L278" t="n">
        <v>2</v>
      </c>
      <c r="M278" t="n">
        <v>600.0238194158453</v>
      </c>
      <c r="N278" t="n">
        <v>13.31742839034565</v>
      </c>
      <c r="O278">
        <f>IF(N278=0, 0, M278/N278)</f>
        <v/>
      </c>
      <c r="P278">
        <f>RANK(O278, O$2:O$518, 0)</f>
        <v/>
      </c>
      <c r="Q278">
        <f>SUM(C278,F278)</f>
        <v/>
      </c>
      <c r="R278">
        <f>SUM(Q278,G278,H278,D278,E278)</f>
        <v/>
      </c>
      <c r="S278">
        <f>SUM(R278,I278,J278,K278,L278)</f>
        <v/>
      </c>
      <c r="T278">
        <f>IF(R278=0, -1, Q278/R278)</f>
        <v/>
      </c>
      <c r="U278">
        <f>IF(S278=0, -1, Q278/S278)</f>
        <v/>
      </c>
      <c r="V278">
        <f>IF(S278=0, -1, R278/S278)</f>
        <v/>
      </c>
    </row>
    <row r="279">
      <c r="A279" t="inlineStr">
        <is>
          <t>RC00321</t>
        </is>
      </c>
      <c r="B279" t="inlineStr">
        <is>
          <t>哈尔滨体育学院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199.7790737505924</v>
      </c>
      <c r="N279" t="n">
        <v>4.007333185232471</v>
      </c>
      <c r="O279">
        <f>IF(N279=0, 0, M279/N279)</f>
        <v/>
      </c>
      <c r="P279">
        <f>RANK(O279, O$2:O$518, 0)</f>
        <v/>
      </c>
      <c r="Q279">
        <f>SUM(C279,F279)</f>
        <v/>
      </c>
      <c r="R279">
        <f>SUM(Q279,G279,H279,D279,E279)</f>
        <v/>
      </c>
      <c r="S279">
        <f>SUM(R279,I279,J279,K279,L279)</f>
        <v/>
      </c>
      <c r="T279">
        <f>IF(R279=0, -1, Q279/R279)</f>
        <v/>
      </c>
      <c r="U279">
        <f>IF(S279=0, -1, Q279/S279)</f>
        <v/>
      </c>
      <c r="V279">
        <f>IF(S279=0, -1, R279/S279)</f>
        <v/>
      </c>
    </row>
    <row r="280">
      <c r="A280" t="inlineStr">
        <is>
          <t>RC00137</t>
        </is>
      </c>
      <c r="B280" t="inlineStr">
        <is>
          <t>北京语言大学</t>
        </is>
      </c>
      <c r="C280" t="n">
        <v>0</v>
      </c>
      <c r="D280" t="n">
        <v>0</v>
      </c>
      <c r="E280" t="n">
        <v>0</v>
      </c>
      <c r="F280" t="n">
        <v>1</v>
      </c>
      <c r="G280" t="n">
        <v>0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6058.757497228017</v>
      </c>
      <c r="N280" t="n">
        <v>12.55881185461526</v>
      </c>
      <c r="O280">
        <f>IF(N280=0, 0, M280/N280)</f>
        <v/>
      </c>
      <c r="P280">
        <f>RANK(O280, O$2:O$518, 0)</f>
        <v/>
      </c>
      <c r="Q280">
        <f>SUM(C280,F280)</f>
        <v/>
      </c>
      <c r="R280">
        <f>SUM(Q280,G280,H280,D280,E280)</f>
        <v/>
      </c>
      <c r="S280">
        <f>SUM(R280,I280,J280,K280,L280)</f>
        <v/>
      </c>
      <c r="T280">
        <f>IF(R280=0, -1, Q280/R280)</f>
        <v/>
      </c>
      <c r="U280">
        <f>IF(S280=0, -1, Q280/S280)</f>
        <v/>
      </c>
      <c r="V280">
        <f>IF(S280=0, -1, R280/S280)</f>
        <v/>
      </c>
    </row>
    <row r="281">
      <c r="A281" t="inlineStr">
        <is>
          <t>RC00755</t>
        </is>
      </c>
      <c r="B281" t="inlineStr">
        <is>
          <t>西北民族大学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1</v>
      </c>
      <c r="J281" t="n">
        <v>1</v>
      </c>
      <c r="K281" t="n">
        <v>3</v>
      </c>
      <c r="L281" t="n">
        <v>0</v>
      </c>
      <c r="M281" t="n">
        <v>2168.572159326979</v>
      </c>
      <c r="N281" t="n">
        <v>19.82716165865931</v>
      </c>
      <c r="O281">
        <f>IF(N281=0, 0, M281/N281)</f>
        <v/>
      </c>
      <c r="P281">
        <f>RANK(O281, O$2:O$518, 0)</f>
        <v/>
      </c>
      <c r="Q281">
        <f>SUM(C281,F281)</f>
        <v/>
      </c>
      <c r="R281">
        <f>SUM(Q281,G281,H281,D281,E281)</f>
        <v/>
      </c>
      <c r="S281">
        <f>SUM(R281,I281,J281,K281,L281)</f>
        <v/>
      </c>
      <c r="T281">
        <f>IF(R281=0, -1, Q281/R281)</f>
        <v/>
      </c>
      <c r="U281">
        <f>IF(S281=0, -1, Q281/S281)</f>
        <v/>
      </c>
      <c r="V281">
        <f>IF(S281=0, -1, R281/S281)</f>
        <v/>
      </c>
    </row>
    <row r="282">
      <c r="A282" t="inlineStr">
        <is>
          <t>RC00771</t>
        </is>
      </c>
      <c r="B282" t="inlineStr">
        <is>
          <t>青海师范大学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1</v>
      </c>
      <c r="K282" t="n">
        <v>1</v>
      </c>
      <c r="L282" t="n">
        <v>3</v>
      </c>
      <c r="M282" t="n">
        <v>1765.97239587861</v>
      </c>
      <c r="N282" t="n">
        <v>22.2474857352812</v>
      </c>
      <c r="O282">
        <f>IF(N282=0, 0, M282/N282)</f>
        <v/>
      </c>
      <c r="P282">
        <f>RANK(O282, O$2:O$518, 0)</f>
        <v/>
      </c>
      <c r="Q282">
        <f>SUM(C282,F282)</f>
        <v/>
      </c>
      <c r="R282">
        <f>SUM(Q282,G282,H282,D282,E282)</f>
        <v/>
      </c>
      <c r="S282">
        <f>SUM(R282,I282,J282,K282,L282)</f>
        <v/>
      </c>
      <c r="T282">
        <f>IF(R282=0, -1, Q282/R282)</f>
        <v/>
      </c>
      <c r="U282">
        <f>IF(S282=0, -1, Q282/S282)</f>
        <v/>
      </c>
      <c r="V282">
        <f>IF(S282=0, -1, R282/S282)</f>
        <v/>
      </c>
    </row>
    <row r="283">
      <c r="A283" t="inlineStr">
        <is>
          <t>RC00237</t>
        </is>
      </c>
      <c r="B283" t="inlineStr">
        <is>
          <t>内蒙古民族大学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517.2974671552025</v>
      </c>
      <c r="N283" t="n">
        <v>4.584967478670572</v>
      </c>
      <c r="O283">
        <f>IF(N283=0, 0, M283/N283)</f>
        <v/>
      </c>
      <c r="P283">
        <f>RANK(O283, O$2:O$518, 0)</f>
        <v/>
      </c>
      <c r="Q283">
        <f>SUM(C283,F283)</f>
        <v/>
      </c>
      <c r="R283">
        <f>SUM(Q283,G283,H283,D283,E283)</f>
        <v/>
      </c>
      <c r="S283">
        <f>SUM(R283,I283,J283,K283,L283)</f>
        <v/>
      </c>
      <c r="T283">
        <f>IF(R283=0, -1, Q283/R283)</f>
        <v/>
      </c>
      <c r="U283">
        <f>IF(S283=0, -1, Q283/S283)</f>
        <v/>
      </c>
      <c r="V283">
        <f>IF(S283=0, -1, R283/S283)</f>
        <v/>
      </c>
    </row>
    <row r="284">
      <c r="A284" t="inlineStr">
        <is>
          <t>RC00138</t>
        </is>
      </c>
      <c r="B284" t="inlineStr">
        <is>
          <t>中国传媒大学</t>
        </is>
      </c>
      <c r="C284" t="n">
        <v>0</v>
      </c>
      <c r="D284" t="n">
        <v>0</v>
      </c>
      <c r="E284" t="n">
        <v>0</v>
      </c>
      <c r="F284" t="n">
        <v>3</v>
      </c>
      <c r="G284" t="n">
        <v>0</v>
      </c>
      <c r="H284" t="n">
        <v>2</v>
      </c>
      <c r="I284" t="n">
        <v>2</v>
      </c>
      <c r="J284" t="n">
        <v>0</v>
      </c>
      <c r="K284" t="n">
        <v>0</v>
      </c>
      <c r="L284" t="n">
        <v>3</v>
      </c>
      <c r="M284" t="n">
        <v>15330.17492592499</v>
      </c>
      <c r="N284" t="n">
        <v>43.34888765471815</v>
      </c>
      <c r="O284">
        <f>IF(N284=0, 0, M284/N284)</f>
        <v/>
      </c>
      <c r="P284">
        <f>RANK(O284, O$2:O$518, 0)</f>
        <v/>
      </c>
      <c r="Q284">
        <f>SUM(C284,F284)</f>
        <v/>
      </c>
      <c r="R284">
        <f>SUM(Q284,G284,H284,D284,E284)</f>
        <v/>
      </c>
      <c r="S284">
        <f>SUM(R284,I284,J284,K284,L284)</f>
        <v/>
      </c>
      <c r="T284">
        <f>IF(R284=0, -1, Q284/R284)</f>
        <v/>
      </c>
      <c r="U284">
        <f>IF(S284=0, -1, Q284/S284)</f>
        <v/>
      </c>
      <c r="V284">
        <f>IF(S284=0, -1, R284/S284)</f>
        <v/>
      </c>
    </row>
    <row r="285">
      <c r="A285" t="inlineStr">
        <is>
          <t>RC00650</t>
        </is>
      </c>
      <c r="B285" t="inlineStr">
        <is>
          <t>四川外国语大学</t>
        </is>
      </c>
      <c r="C285" t="n">
        <v>0</v>
      </c>
      <c r="D285" t="n">
        <v>0</v>
      </c>
      <c r="E285" t="n">
        <v>0</v>
      </c>
      <c r="F285" t="n">
        <v>0</v>
      </c>
      <c r="G285" t="n">
        <v>1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1801.077643313352</v>
      </c>
      <c r="N285" t="n">
        <v>8.970177815492377</v>
      </c>
      <c r="O285">
        <f>IF(N285=0, 0, M285/N285)</f>
        <v/>
      </c>
      <c r="P285">
        <f>RANK(O285, O$2:O$518, 0)</f>
        <v/>
      </c>
      <c r="Q285">
        <f>SUM(C285,F285)</f>
        <v/>
      </c>
      <c r="R285">
        <f>SUM(Q285,G285,H285,D285,E285)</f>
        <v/>
      </c>
      <c r="S285">
        <f>SUM(R285,I285,J285,K285,L285)</f>
        <v/>
      </c>
      <c r="T285">
        <f>IF(R285=0, -1, Q285/R285)</f>
        <v/>
      </c>
      <c r="U285">
        <f>IF(S285=0, -1, Q285/S285)</f>
        <v/>
      </c>
      <c r="V285">
        <f>IF(S285=0, -1, R285/S285)</f>
        <v/>
      </c>
    </row>
    <row r="286">
      <c r="A286" t="inlineStr">
        <is>
          <t>RC00741</t>
        </is>
      </c>
      <c r="B286" t="inlineStr">
        <is>
          <t>西安外国语大学</t>
        </is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1</v>
      </c>
      <c r="I286" t="n">
        <v>0</v>
      </c>
      <c r="J286" t="n">
        <v>0</v>
      </c>
      <c r="K286" t="n">
        <v>1</v>
      </c>
      <c r="L286" t="n">
        <v>1</v>
      </c>
      <c r="M286" t="n">
        <v>1670.846605806119</v>
      </c>
      <c r="N286" t="n">
        <v>12.14823164584032</v>
      </c>
      <c r="O286">
        <f>IF(N286=0, 0, M286/N286)</f>
        <v/>
      </c>
      <c r="P286">
        <f>RANK(O286, O$2:O$518, 0)</f>
        <v/>
      </c>
      <c r="Q286">
        <f>SUM(C286,F286)</f>
        <v/>
      </c>
      <c r="R286">
        <f>SUM(Q286,G286,H286,D286,E286)</f>
        <v/>
      </c>
      <c r="S286">
        <f>SUM(R286,I286,J286,K286,L286)</f>
        <v/>
      </c>
      <c r="T286">
        <f>IF(R286=0, -1, Q286/R286)</f>
        <v/>
      </c>
      <c r="U286">
        <f>IF(S286=0, -1, Q286/S286)</f>
        <v/>
      </c>
      <c r="V286">
        <f>IF(S286=0, -1, R286/S286)</f>
        <v/>
      </c>
    </row>
    <row r="287">
      <c r="A287" t="inlineStr">
        <is>
          <t>RC00136</t>
        </is>
      </c>
      <c r="B287" t="inlineStr">
        <is>
          <t>北京第二外国语学院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1957.565997963052</v>
      </c>
      <c r="N287" t="n">
        <v>9.839215662515988</v>
      </c>
      <c r="O287">
        <f>IF(N287=0, 0, M287/N287)</f>
        <v/>
      </c>
      <c r="P287">
        <f>RANK(O287, O$2:O$518, 0)</f>
        <v/>
      </c>
      <c r="Q287">
        <f>SUM(C287,F287)</f>
        <v/>
      </c>
      <c r="R287">
        <f>SUM(Q287,G287,H287,D287,E287)</f>
        <v/>
      </c>
      <c r="S287">
        <f>SUM(R287,I287,J287,K287,L287)</f>
        <v/>
      </c>
      <c r="T287">
        <f>IF(R287=0, -1, Q287/R287)</f>
        <v/>
      </c>
      <c r="U287">
        <f>IF(S287=0, -1, Q287/S287)</f>
        <v/>
      </c>
      <c r="V287">
        <f>IF(S287=0, -1, R287/S287)</f>
        <v/>
      </c>
    </row>
    <row r="288">
      <c r="A288" t="inlineStr">
        <is>
          <t>RC00267</t>
        </is>
      </c>
      <c r="B288" t="inlineStr">
        <is>
          <t>大连外国语大学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777.2756151696501</v>
      </c>
      <c r="N288" t="n">
        <v>4.795790545596741</v>
      </c>
      <c r="O288">
        <f>IF(N288=0, 0, M288/N288)</f>
        <v/>
      </c>
      <c r="P288">
        <f>RANK(O288, O$2:O$518, 0)</f>
        <v/>
      </c>
      <c r="Q288">
        <f>SUM(C288,F288)</f>
        <v/>
      </c>
      <c r="R288">
        <f>SUM(Q288,G288,H288,D288,E288)</f>
        <v/>
      </c>
      <c r="S288">
        <f>SUM(R288,I288,J288,K288,L288)</f>
        <v/>
      </c>
      <c r="T288">
        <f>IF(R288=0, -1, Q288/R288)</f>
        <v/>
      </c>
      <c r="U288">
        <f>IF(S288=0, -1, Q288/S288)</f>
        <v/>
      </c>
      <c r="V288">
        <f>IF(S288=0, -1, R288/S288)</f>
        <v/>
      </c>
    </row>
    <row r="289">
      <c r="A289" t="inlineStr">
        <is>
          <t>RC00172</t>
        </is>
      </c>
      <c r="B289" t="inlineStr">
        <is>
          <t>天津外国语大学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540.2065525429068</v>
      </c>
      <c r="N289" t="n">
        <v>4.795790545596741</v>
      </c>
      <c r="O289">
        <f>IF(N289=0, 0, M289/N289)</f>
        <v/>
      </c>
      <c r="P289">
        <f>RANK(O289, O$2:O$518, 0)</f>
        <v/>
      </c>
      <c r="Q289">
        <f>SUM(C289,F289)</f>
        <v/>
      </c>
      <c r="R289">
        <f>SUM(Q289,G289,H289,D289,E289)</f>
        <v/>
      </c>
      <c r="S289">
        <f>SUM(R289,I289,J289,K289,L289)</f>
        <v/>
      </c>
      <c r="T289">
        <f>IF(R289=0, -1, Q289/R289)</f>
        <v/>
      </c>
      <c r="U289">
        <f>IF(S289=0, -1, Q289/S289)</f>
        <v/>
      </c>
      <c r="V289">
        <f>IF(S289=0, -1, R289/S289)</f>
        <v/>
      </c>
    </row>
    <row r="290">
      <c r="A290" t="inlineStr">
        <is>
          <t>RC01276</t>
        </is>
      </c>
      <c r="B290" t="inlineStr">
        <is>
          <t>中国人民解放军网络空间部队信息工程大学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1</v>
      </c>
      <c r="I290" t="n">
        <v>1</v>
      </c>
      <c r="J290" t="n">
        <v>3</v>
      </c>
      <c r="K290" t="n">
        <v>0</v>
      </c>
      <c r="L290" t="n">
        <v>0</v>
      </c>
      <c r="M290" t="n">
        <v>2266.12922484429</v>
      </c>
      <c r="N290" t="n">
        <v>21.59411023182452</v>
      </c>
      <c r="O290">
        <f>IF(N290=0, 0, M290/N290)</f>
        <v/>
      </c>
      <c r="P290">
        <f>RANK(O290, O$2:O$518, 0)</f>
        <v/>
      </c>
      <c r="Q290">
        <f>SUM(C290,F290)</f>
        <v/>
      </c>
      <c r="R290">
        <f>SUM(Q290,G290,H290,D290,E290)</f>
        <v/>
      </c>
      <c r="S290">
        <f>SUM(R290,I290,J290,K290,L290)</f>
        <v/>
      </c>
      <c r="T290">
        <f>IF(R290=0, -1, Q290/R290)</f>
        <v/>
      </c>
      <c r="U290">
        <f>IF(S290=0, -1, Q290/S290)</f>
        <v/>
      </c>
      <c r="V290">
        <f>IF(S290=0, -1, R290/S290)</f>
        <v/>
      </c>
    </row>
    <row r="291">
      <c r="A291" t="inlineStr">
        <is>
          <t>RC00167</t>
        </is>
      </c>
      <c r="B291" t="inlineStr">
        <is>
          <t>天津理工大学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 t="n">
        <v>4</v>
      </c>
      <c r="M291" t="n">
        <v>2660.723708528919</v>
      </c>
      <c r="N291" t="n">
        <v>37.40031655673494</v>
      </c>
      <c r="O291">
        <f>IF(N291=0, 0, M291/N291)</f>
        <v/>
      </c>
      <c r="P291">
        <f>RANK(O291, O$2:O$518, 0)</f>
        <v/>
      </c>
      <c r="Q291">
        <f>SUM(C291,F291)</f>
        <v/>
      </c>
      <c r="R291">
        <f>SUM(Q291,G291,H291,D291,E291)</f>
        <v/>
      </c>
      <c r="S291">
        <f>SUM(R291,I291,J291,K291,L291)</f>
        <v/>
      </c>
      <c r="T291">
        <f>IF(R291=0, -1, Q291/R291)</f>
        <v/>
      </c>
      <c r="U291">
        <f>IF(S291=0, -1, Q291/S291)</f>
        <v/>
      </c>
      <c r="V291">
        <f>IF(S291=0, -1, R291/S291)</f>
        <v/>
      </c>
    </row>
    <row r="292">
      <c r="A292" t="inlineStr">
        <is>
          <t>RC00840</t>
        </is>
      </c>
      <c r="B292" t="inlineStr">
        <is>
          <t>吉林外国语大学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283.7055995369223</v>
      </c>
      <c r="N292" t="n">
        <v>4.795790545596741</v>
      </c>
      <c r="O292">
        <f>IF(N292=0, 0, M292/N292)</f>
        <v/>
      </c>
      <c r="P292">
        <f>RANK(O292, O$2:O$518, 0)</f>
        <v/>
      </c>
      <c r="Q292">
        <f>SUM(C292,F292)</f>
        <v/>
      </c>
      <c r="R292">
        <f>SUM(Q292,G292,H292,D292,E292)</f>
        <v/>
      </c>
      <c r="S292">
        <f>SUM(R292,I292,J292,K292,L292)</f>
        <v/>
      </c>
      <c r="T292">
        <f>IF(R292=0, -1, Q292/R292)</f>
        <v/>
      </c>
      <c r="U292">
        <f>IF(S292=0, -1, Q292/S292)</f>
        <v/>
      </c>
      <c r="V292">
        <f>IF(S292=0, -1, R292/S292)</f>
        <v/>
      </c>
    </row>
    <row r="293">
      <c r="A293" t="inlineStr">
        <is>
          <t>RC00122</t>
        </is>
      </c>
      <c r="B293" t="inlineStr">
        <is>
          <t>汕头大学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4</v>
      </c>
      <c r="L293" t="n">
        <v>2</v>
      </c>
      <c r="M293" t="n">
        <v>1357.253418170282</v>
      </c>
      <c r="N293" t="n">
        <v>28.4054502390701</v>
      </c>
      <c r="O293">
        <f>IF(N293=0, 0, M293/N293)</f>
        <v/>
      </c>
      <c r="P293">
        <f>RANK(O293, O$2:O$518, 0)</f>
        <v/>
      </c>
      <c r="Q293">
        <f>SUM(C293,F293)</f>
        <v/>
      </c>
      <c r="R293">
        <f>SUM(Q293,G293,H293,D293,E293)</f>
        <v/>
      </c>
      <c r="S293">
        <f>SUM(R293,I293,J293,K293,L293)</f>
        <v/>
      </c>
      <c r="T293">
        <f>IF(R293=0, -1, Q293/R293)</f>
        <v/>
      </c>
      <c r="U293">
        <f>IF(S293=0, -1, Q293/S293)</f>
        <v/>
      </c>
      <c r="V293">
        <f>IF(S293=0, -1, R293/S293)</f>
        <v/>
      </c>
    </row>
    <row r="294">
      <c r="A294" t="inlineStr">
        <is>
          <t>RC00102</t>
        </is>
      </c>
      <c r="B294" t="inlineStr">
        <is>
          <t>燕山大学</t>
        </is>
      </c>
      <c r="C294" t="n">
        <v>0</v>
      </c>
      <c r="D294" t="n">
        <v>0</v>
      </c>
      <c r="E294" t="n">
        <v>0</v>
      </c>
      <c r="F294" t="n">
        <v>0</v>
      </c>
      <c r="G294" t="n">
        <v>1</v>
      </c>
      <c r="H294" t="n">
        <v>0</v>
      </c>
      <c r="I294" t="n">
        <v>2</v>
      </c>
      <c r="J294" t="n">
        <v>1</v>
      </c>
      <c r="K294" t="n">
        <v>5</v>
      </c>
      <c r="L294" t="n">
        <v>5</v>
      </c>
      <c r="M294" t="n">
        <v>5756.530337582737</v>
      </c>
      <c r="N294" t="n">
        <v>64.26883011411873</v>
      </c>
      <c r="O294">
        <f>IF(N294=0, 0, M294/N294)</f>
        <v/>
      </c>
      <c r="P294">
        <f>RANK(O294, O$2:O$518, 0)</f>
        <v/>
      </c>
      <c r="Q294">
        <f>SUM(C294,F294)</f>
        <v/>
      </c>
      <c r="R294">
        <f>SUM(Q294,G294,H294,D294,E294)</f>
        <v/>
      </c>
      <c r="S294">
        <f>SUM(R294,I294,J294,K294,L294)</f>
        <v/>
      </c>
      <c r="T294">
        <f>IF(R294=0, -1, Q294/R294)</f>
        <v/>
      </c>
      <c r="U294">
        <f>IF(S294=0, -1, Q294/S294)</f>
        <v/>
      </c>
      <c r="V294">
        <f>IF(S294=0, -1, R294/S294)</f>
        <v/>
      </c>
    </row>
    <row r="295">
      <c r="A295" t="inlineStr">
        <is>
          <t>RC00293</t>
        </is>
      </c>
      <c r="B295" t="inlineStr">
        <is>
          <t>长春师范大学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182.6597695648678</v>
      </c>
      <c r="N295" t="n">
        <v>4.795790545596741</v>
      </c>
      <c r="O295">
        <f>IF(N295=0, 0, M295/N295)</f>
        <v/>
      </c>
      <c r="P295">
        <f>RANK(O295, O$2:O$518, 0)</f>
        <v/>
      </c>
      <c r="Q295">
        <f>SUM(C295,F295)</f>
        <v/>
      </c>
      <c r="R295">
        <f>SUM(Q295,G295,H295,D295,E295)</f>
        <v/>
      </c>
      <c r="S295">
        <f>SUM(R295,I295,J295,K295,L295)</f>
        <v/>
      </c>
      <c r="T295">
        <f>IF(R295=0, -1, Q295/R295)</f>
        <v/>
      </c>
      <c r="U295">
        <f>IF(S295=0, -1, Q295/S295)</f>
        <v/>
      </c>
      <c r="V295">
        <f>IF(S295=0, -1, R295/S295)</f>
        <v/>
      </c>
    </row>
    <row r="296">
      <c r="A296" t="inlineStr">
        <is>
          <t>RC00348</t>
        </is>
      </c>
      <c r="B296" t="inlineStr">
        <is>
          <t>江苏科技大学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2</v>
      </c>
      <c r="K296" t="n">
        <v>3</v>
      </c>
      <c r="L296" t="n">
        <v>2</v>
      </c>
      <c r="M296" t="n">
        <v>2179.533271340746</v>
      </c>
      <c r="N296" t="n">
        <v>31.44202862885777</v>
      </c>
      <c r="O296">
        <f>IF(N296=0, 0, M296/N296)</f>
        <v/>
      </c>
      <c r="P296">
        <f>RANK(O296, O$2:O$518, 0)</f>
        <v/>
      </c>
      <c r="Q296">
        <f>SUM(C296,F296)</f>
        <v/>
      </c>
      <c r="R296">
        <f>SUM(Q296,G296,H296,D296,E296)</f>
        <v/>
      </c>
      <c r="S296">
        <f>SUM(R296,I296,J296,K296,L296)</f>
        <v/>
      </c>
      <c r="T296">
        <f>IF(R296=0, -1, Q296/R296)</f>
        <v/>
      </c>
      <c r="U296">
        <f>IF(S296=0, -1, Q296/S296)</f>
        <v/>
      </c>
      <c r="V296">
        <f>IF(S296=0, -1, R296/S296)</f>
        <v/>
      </c>
    </row>
    <row r="297">
      <c r="A297" t="inlineStr">
        <is>
          <t>RC00126</t>
        </is>
      </c>
      <c r="B297" t="inlineStr">
        <is>
          <t>北方工业大学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3</v>
      </c>
      <c r="M297" t="n">
        <v>541.8855817659334</v>
      </c>
      <c r="N297" t="n">
        <v>14.40812333620211</v>
      </c>
      <c r="O297">
        <f>IF(N297=0, 0, M297/N297)</f>
        <v/>
      </c>
      <c r="P297">
        <f>RANK(O297, O$2:O$518, 0)</f>
        <v/>
      </c>
      <c r="Q297">
        <f>SUM(C297,F297)</f>
        <v/>
      </c>
      <c r="R297">
        <f>SUM(Q297,G297,H297,D297,E297)</f>
        <v/>
      </c>
      <c r="S297">
        <f>SUM(R297,I297,J297,K297,L297)</f>
        <v/>
      </c>
      <c r="T297">
        <f>IF(R297=0, -1, Q297/R297)</f>
        <v/>
      </c>
      <c r="U297">
        <f>IF(S297=0, -1, Q297/S297)</f>
        <v/>
      </c>
      <c r="V297">
        <f>IF(S297=0, -1, R297/S297)</f>
        <v/>
      </c>
    </row>
    <row r="298">
      <c r="A298" t="inlineStr">
        <is>
          <t>RC00398</t>
        </is>
      </c>
      <c r="B298" t="inlineStr">
        <is>
          <t>浙江传媒学院</t>
        </is>
      </c>
      <c r="C298" t="n">
        <v>0</v>
      </c>
      <c r="D298" t="n">
        <v>0</v>
      </c>
      <c r="E298" t="n">
        <v>0</v>
      </c>
      <c r="F298" t="n">
        <v>0</v>
      </c>
      <c r="G298" t="n">
        <v>1</v>
      </c>
      <c r="H298" t="n">
        <v>1</v>
      </c>
      <c r="I298" t="n">
        <v>1</v>
      </c>
      <c r="J298" t="n">
        <v>0</v>
      </c>
      <c r="K298" t="n">
        <v>1</v>
      </c>
      <c r="L298" t="n">
        <v>1</v>
      </c>
      <c r="M298" t="n">
        <v>4076.746142772962</v>
      </c>
      <c r="N298" t="n">
        <v>21.67404610759795</v>
      </c>
      <c r="O298">
        <f>IF(N298=0, 0, M298/N298)</f>
        <v/>
      </c>
      <c r="P298">
        <f>RANK(O298, O$2:O$518, 0)</f>
        <v/>
      </c>
      <c r="Q298">
        <f>SUM(C298,F298)</f>
        <v/>
      </c>
      <c r="R298">
        <f>SUM(Q298,G298,H298,D298,E298)</f>
        <v/>
      </c>
      <c r="S298">
        <f>SUM(R298,I298,J298,K298,L298)</f>
        <v/>
      </c>
      <c r="T298">
        <f>IF(R298=0, -1, Q298/R298)</f>
        <v/>
      </c>
      <c r="U298">
        <f>IF(S298=0, -1, Q298/S298)</f>
        <v/>
      </c>
      <c r="V298">
        <f>IF(S298=0, -1, R298/S298)</f>
        <v/>
      </c>
    </row>
    <row r="299">
      <c r="A299" t="inlineStr">
        <is>
          <t>RC00129</t>
        </is>
      </c>
      <c r="B299" t="inlineStr">
        <is>
          <t>北京印刷学院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1</v>
      </c>
      <c r="K299" t="n">
        <v>1</v>
      </c>
      <c r="L299" t="n">
        <v>1</v>
      </c>
      <c r="M299" t="n">
        <v>822.1536110669865</v>
      </c>
      <c r="N299" t="n">
        <v>13.16258359089069</v>
      </c>
      <c r="O299">
        <f>IF(N299=0, 0, M299/N299)</f>
        <v/>
      </c>
      <c r="P299">
        <f>RANK(O299, O$2:O$518, 0)</f>
        <v/>
      </c>
      <c r="Q299">
        <f>SUM(C299,F299)</f>
        <v/>
      </c>
      <c r="R299">
        <f>SUM(Q299,G299,H299,D299,E299)</f>
        <v/>
      </c>
      <c r="S299">
        <f>SUM(R299,I299,J299,K299,L299)</f>
        <v/>
      </c>
      <c r="T299">
        <f>IF(R299=0, -1, Q299/R299)</f>
        <v/>
      </c>
      <c r="U299">
        <f>IF(S299=0, -1, Q299/S299)</f>
        <v/>
      </c>
      <c r="V299">
        <f>IF(S299=0, -1, R299/S299)</f>
        <v/>
      </c>
    </row>
    <row r="300">
      <c r="A300" t="inlineStr">
        <is>
          <t>RC00006</t>
        </is>
      </c>
      <c r="B300" t="inlineStr">
        <is>
          <t>中国科学技术大学</t>
        </is>
      </c>
      <c r="C300" t="n">
        <v>4</v>
      </c>
      <c r="D300" t="n">
        <v>1</v>
      </c>
      <c r="E300" t="n">
        <v>0</v>
      </c>
      <c r="F300" t="n">
        <v>4</v>
      </c>
      <c r="G300" t="n">
        <v>3</v>
      </c>
      <c r="H300" t="n">
        <v>5</v>
      </c>
      <c r="I300" t="n">
        <v>8</v>
      </c>
      <c r="J300" t="n">
        <v>4</v>
      </c>
      <c r="K300" t="n">
        <v>0</v>
      </c>
      <c r="L300" t="n">
        <v>2</v>
      </c>
      <c r="M300" t="n">
        <v>48938.53978334498</v>
      </c>
      <c r="N300" t="n">
        <v>126.6988816767549</v>
      </c>
      <c r="O300">
        <f>IF(N300=0, 0, M300/N300)</f>
        <v/>
      </c>
      <c r="P300">
        <f>RANK(O300, O$2:O$518, 0)</f>
        <v/>
      </c>
      <c r="Q300">
        <f>SUM(C300,F300)</f>
        <v/>
      </c>
      <c r="R300">
        <f>SUM(Q300,G300,H300,D300,E300)</f>
        <v/>
      </c>
      <c r="S300">
        <f>SUM(R300,I300,J300,K300,L300)</f>
        <v/>
      </c>
      <c r="T300">
        <f>IF(R300=0, -1, Q300/R300)</f>
        <v/>
      </c>
      <c r="U300">
        <f>IF(S300=0, -1, Q300/S300)</f>
        <v/>
      </c>
      <c r="V300">
        <f>IF(S300=0, -1, R300/S300)</f>
        <v/>
      </c>
    </row>
    <row r="301">
      <c r="A301" t="inlineStr">
        <is>
          <t>RC00064</t>
        </is>
      </c>
      <c r="B301" t="inlineStr">
        <is>
          <t>南方科技大学</t>
        </is>
      </c>
      <c r="C301" t="n">
        <v>0</v>
      </c>
      <c r="D301" t="n">
        <v>0</v>
      </c>
      <c r="E301" t="n">
        <v>1</v>
      </c>
      <c r="F301" t="n">
        <v>0</v>
      </c>
      <c r="G301" t="n">
        <v>1</v>
      </c>
      <c r="H301" t="n">
        <v>3</v>
      </c>
      <c r="I301" t="n">
        <v>5</v>
      </c>
      <c r="J301" t="n">
        <v>3</v>
      </c>
      <c r="K301" t="n">
        <v>0</v>
      </c>
      <c r="L301" t="n">
        <v>0</v>
      </c>
      <c r="M301" t="n">
        <v>12825.74126964075</v>
      </c>
      <c r="N301" t="n">
        <v>57.60355701203717</v>
      </c>
      <c r="O301">
        <f>IF(N301=0, 0, M301/N301)</f>
        <v/>
      </c>
      <c r="P301">
        <f>RANK(O301, O$2:O$518, 0)</f>
        <v/>
      </c>
      <c r="Q301">
        <f>SUM(C301,F301)</f>
        <v/>
      </c>
      <c r="R301">
        <f>SUM(Q301,G301,H301,D301,E301)</f>
        <v/>
      </c>
      <c r="S301">
        <f>SUM(R301,I301,J301,K301,L301)</f>
        <v/>
      </c>
      <c r="T301">
        <f>IF(R301=0, -1, Q301/R301)</f>
        <v/>
      </c>
      <c r="U301">
        <f>IF(S301=0, -1, Q301/S301)</f>
        <v/>
      </c>
      <c r="V301">
        <f>IF(S301=0, -1, R301/S301)</f>
        <v/>
      </c>
    </row>
    <row r="302">
      <c r="A302" t="inlineStr">
        <is>
          <t>RC00463</t>
        </is>
      </c>
      <c r="B302" t="inlineStr">
        <is>
          <t>山东科技大学</t>
        </is>
      </c>
      <c r="C302" t="n">
        <v>0</v>
      </c>
      <c r="D302" t="n">
        <v>0</v>
      </c>
      <c r="E302" t="n">
        <v>0</v>
      </c>
      <c r="F302" t="n">
        <v>0</v>
      </c>
      <c r="G302" t="n">
        <v>1</v>
      </c>
      <c r="H302" t="n">
        <v>1</v>
      </c>
      <c r="I302" t="n">
        <v>2</v>
      </c>
      <c r="J302" t="n">
        <v>3</v>
      </c>
      <c r="K302" t="n">
        <v>4</v>
      </c>
      <c r="L302" t="n">
        <v>2</v>
      </c>
      <c r="M302" t="n">
        <v>7572.94695933446</v>
      </c>
      <c r="N302" t="n">
        <v>54.60153950329557</v>
      </c>
      <c r="O302">
        <f>IF(N302=0, 0, M302/N302)</f>
        <v/>
      </c>
      <c r="P302">
        <f>RANK(O302, O$2:O$518, 0)</f>
        <v/>
      </c>
      <c r="Q302">
        <f>SUM(C302,F302)</f>
        <v/>
      </c>
      <c r="R302">
        <f>SUM(Q302,G302,H302,D302,E302)</f>
        <v/>
      </c>
      <c r="S302">
        <f>SUM(R302,I302,J302,K302,L302)</f>
        <v/>
      </c>
      <c r="T302">
        <f>IF(R302=0, -1, Q302/R302)</f>
        <v/>
      </c>
      <c r="U302">
        <f>IF(S302=0, -1, Q302/S302)</f>
        <v/>
      </c>
      <c r="V302">
        <f>IF(S302=0, -1, R302/S302)</f>
        <v/>
      </c>
    </row>
    <row r="303">
      <c r="A303" t="inlineStr">
        <is>
          <t>RC00080</t>
        </is>
      </c>
      <c r="B303" t="inlineStr">
        <is>
          <t>西安电子科技大学</t>
        </is>
      </c>
      <c r="C303" t="n">
        <v>0</v>
      </c>
      <c r="D303" t="n">
        <v>0</v>
      </c>
      <c r="E303" t="n">
        <v>0</v>
      </c>
      <c r="F303" t="n">
        <v>3</v>
      </c>
      <c r="G303" t="n">
        <v>1</v>
      </c>
      <c r="H303" t="n">
        <v>2</v>
      </c>
      <c r="I303" t="n">
        <v>2</v>
      </c>
      <c r="J303" t="n">
        <v>3</v>
      </c>
      <c r="K303" t="n">
        <v>0</v>
      </c>
      <c r="L303" t="n">
        <v>7</v>
      </c>
      <c r="M303" t="n">
        <v>22801.63850129027</v>
      </c>
      <c r="N303" t="n">
        <v>77.22499320333984</v>
      </c>
      <c r="O303">
        <f>IF(N303=0, 0, M303/N303)</f>
        <v/>
      </c>
      <c r="P303">
        <f>RANK(O303, O$2:O$518, 0)</f>
        <v/>
      </c>
      <c r="Q303">
        <f>SUM(C303,F303)</f>
        <v/>
      </c>
      <c r="R303">
        <f>SUM(Q303,G303,H303,D303,E303)</f>
        <v/>
      </c>
      <c r="S303">
        <f>SUM(R303,I303,J303,K303,L303)</f>
        <v/>
      </c>
      <c r="T303">
        <f>IF(R303=0, -1, Q303/R303)</f>
        <v/>
      </c>
      <c r="U303">
        <f>IF(S303=0, -1, Q303/S303)</f>
        <v/>
      </c>
      <c r="V303">
        <f>IF(S303=0, -1, R303/S303)</f>
        <v/>
      </c>
    </row>
    <row r="304">
      <c r="A304" t="inlineStr">
        <is>
          <t>RC00503</t>
        </is>
      </c>
      <c r="B304" t="inlineStr">
        <is>
          <t>华北水利水电大学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1</v>
      </c>
      <c r="K304" t="n">
        <v>1</v>
      </c>
      <c r="L304" t="n">
        <v>1</v>
      </c>
      <c r="M304" t="n">
        <v>1052.27269350633</v>
      </c>
      <c r="N304" t="n">
        <v>13.31038863711496</v>
      </c>
      <c r="O304">
        <f>IF(N304=0, 0, M304/N304)</f>
        <v/>
      </c>
      <c r="P304">
        <f>RANK(O304, O$2:O$518, 0)</f>
        <v/>
      </c>
      <c r="Q304">
        <f>SUM(C304,F304)</f>
        <v/>
      </c>
      <c r="R304">
        <f>SUM(Q304,G304,H304,D304,E304)</f>
        <v/>
      </c>
      <c r="S304">
        <f>SUM(R304,I304,J304,K304,L304)</f>
        <v/>
      </c>
      <c r="T304">
        <f>IF(R304=0, -1, Q304/R304)</f>
        <v/>
      </c>
      <c r="U304">
        <f>IF(S304=0, -1, Q304/S304)</f>
        <v/>
      </c>
      <c r="V304">
        <f>IF(S304=0, -1, R304/S304)</f>
        <v/>
      </c>
    </row>
    <row r="305">
      <c r="A305" t="inlineStr">
        <is>
          <t>RC00165</t>
        </is>
      </c>
      <c r="B305" t="inlineStr">
        <is>
          <t>天津工业大学</t>
        </is>
      </c>
      <c r="C305" t="n">
        <v>0</v>
      </c>
      <c r="D305" t="n">
        <v>0</v>
      </c>
      <c r="E305" t="n">
        <v>1</v>
      </c>
      <c r="F305" t="n">
        <v>0</v>
      </c>
      <c r="G305" t="n">
        <v>0</v>
      </c>
      <c r="H305" t="n">
        <v>0</v>
      </c>
      <c r="I305" t="n">
        <v>0</v>
      </c>
      <c r="J305" t="n">
        <v>1</v>
      </c>
      <c r="K305" t="n">
        <v>4</v>
      </c>
      <c r="L305" t="n">
        <v>6</v>
      </c>
      <c r="M305" t="n">
        <v>4065.441373517511</v>
      </c>
      <c r="N305" t="n">
        <v>53.63132993962481</v>
      </c>
      <c r="O305">
        <f>IF(N305=0, 0, M305/N305)</f>
        <v/>
      </c>
      <c r="P305">
        <f>RANK(O305, O$2:O$518, 0)</f>
        <v/>
      </c>
      <c r="Q305">
        <f>SUM(C305,F305)</f>
        <v/>
      </c>
      <c r="R305">
        <f>SUM(Q305,G305,H305,D305,E305)</f>
        <v/>
      </c>
      <c r="S305">
        <f>SUM(R305,I305,J305,K305,L305)</f>
        <v/>
      </c>
      <c r="T305">
        <f>IF(R305=0, -1, Q305/R305)</f>
        <v/>
      </c>
      <c r="U305">
        <f>IF(S305=0, -1, Q305/S305)</f>
        <v/>
      </c>
      <c r="V305">
        <f>IF(S305=0, -1, R305/S305)</f>
        <v/>
      </c>
    </row>
    <row r="306">
      <c r="A306" t="inlineStr">
        <is>
          <t>RC00483</t>
        </is>
      </c>
      <c r="B306" t="inlineStr">
        <is>
          <t>临沂大学</t>
        </is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2</v>
      </c>
      <c r="L306" t="n">
        <v>0</v>
      </c>
      <c r="M306" t="n">
        <v>436.7701661302791</v>
      </c>
      <c r="N306" t="n">
        <v>9.496346040047019</v>
      </c>
      <c r="O306">
        <f>IF(N306=0, 0, M306/N306)</f>
        <v/>
      </c>
      <c r="P306">
        <f>RANK(O306, O$2:O$518, 0)</f>
        <v/>
      </c>
      <c r="Q306">
        <f>SUM(C306,F306)</f>
        <v/>
      </c>
      <c r="R306">
        <f>SUM(Q306,G306,H306,D306,E306)</f>
        <v/>
      </c>
      <c r="S306">
        <f>SUM(R306,I306,J306,K306,L306)</f>
        <v/>
      </c>
      <c r="T306">
        <f>IF(R306=0, -1, Q306/R306)</f>
        <v/>
      </c>
      <c r="U306">
        <f>IF(S306=0, -1, Q306/S306)</f>
        <v/>
      </c>
      <c r="V306">
        <f>IF(S306=0, -1, R306/S306)</f>
        <v/>
      </c>
    </row>
    <row r="307">
      <c r="A307" t="inlineStr">
        <is>
          <t>RC00104</t>
        </is>
      </c>
      <c r="B307" t="inlineStr">
        <is>
          <t>太原理工大学</t>
        </is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1</v>
      </c>
      <c r="I307" t="n">
        <v>2</v>
      </c>
      <c r="J307" t="n">
        <v>2</v>
      </c>
      <c r="K307" t="n">
        <v>10</v>
      </c>
      <c r="L307" t="n">
        <v>6</v>
      </c>
      <c r="M307" t="n">
        <v>7436.718017897597</v>
      </c>
      <c r="N307" t="n">
        <v>91.15226716499485</v>
      </c>
      <c r="O307">
        <f>IF(N307=0, 0, M307/N307)</f>
        <v/>
      </c>
      <c r="P307">
        <f>RANK(O307, O$2:O$518, 0)</f>
        <v/>
      </c>
      <c r="Q307">
        <f>SUM(C307,F307)</f>
        <v/>
      </c>
      <c r="R307">
        <f>SUM(Q307,G307,H307,D307,E307)</f>
        <v/>
      </c>
      <c r="S307">
        <f>SUM(R307,I307,J307,K307,L307)</f>
        <v/>
      </c>
      <c r="T307">
        <f>IF(R307=0, -1, Q307/R307)</f>
        <v/>
      </c>
      <c r="U307">
        <f>IF(S307=0, -1, Q307/S307)</f>
        <v/>
      </c>
      <c r="V307">
        <f>IF(S307=0, -1, R307/S307)</f>
        <v/>
      </c>
    </row>
    <row r="308">
      <c r="A308" t="inlineStr">
        <is>
          <t>RC00305</t>
        </is>
      </c>
      <c r="B308" t="inlineStr">
        <is>
          <t>哈尔滨理工大学</t>
        </is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1</v>
      </c>
      <c r="J308" t="n">
        <v>1</v>
      </c>
      <c r="K308" t="n">
        <v>1</v>
      </c>
      <c r="L308" t="n">
        <v>5</v>
      </c>
      <c r="M308" t="n">
        <v>2585.609024489337</v>
      </c>
      <c r="N308" t="n">
        <v>36.73014006955562</v>
      </c>
      <c r="O308">
        <f>IF(N308=0, 0, M308/N308)</f>
        <v/>
      </c>
      <c r="P308">
        <f>RANK(O308, O$2:O$518, 0)</f>
        <v/>
      </c>
      <c r="Q308">
        <f>SUM(C308,F308)</f>
        <v/>
      </c>
      <c r="R308">
        <f>SUM(Q308,G308,H308,D308,E308)</f>
        <v/>
      </c>
      <c r="S308">
        <f>SUM(R308,I308,J308,K308,L308)</f>
        <v/>
      </c>
      <c r="T308">
        <f>IF(R308=0, -1, Q308/R308)</f>
        <v/>
      </c>
      <c r="U308">
        <f>IF(S308=0, -1, Q308/S308)</f>
        <v/>
      </c>
      <c r="V308">
        <f>IF(S308=0, -1, R308/S308)</f>
        <v/>
      </c>
    </row>
    <row r="309">
      <c r="A309" t="inlineStr">
        <is>
          <t>RC00537</t>
        </is>
      </c>
      <c r="B309" t="inlineStr">
        <is>
          <t>长江大学</t>
        </is>
      </c>
      <c r="C309" t="n">
        <v>0</v>
      </c>
      <c r="D309" t="n">
        <v>0</v>
      </c>
      <c r="E309" t="n">
        <v>1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2</v>
      </c>
      <c r="M309" t="n">
        <v>1397.031142519711</v>
      </c>
      <c r="N309" t="n">
        <v>10.48575903675014</v>
      </c>
      <c r="O309">
        <f>IF(N309=0, 0, M309/N309)</f>
        <v/>
      </c>
      <c r="P309">
        <f>RANK(O309, O$2:O$518, 0)</f>
        <v/>
      </c>
      <c r="Q309">
        <f>SUM(C309,F309)</f>
        <v/>
      </c>
      <c r="R309">
        <f>SUM(Q309,G309,H309,D309,E309)</f>
        <v/>
      </c>
      <c r="S309">
        <f>SUM(R309,I309,J309,K309,L309)</f>
        <v/>
      </c>
      <c r="T309">
        <f>IF(R309=0, -1, Q309/R309)</f>
        <v/>
      </c>
      <c r="U309">
        <f>IF(S309=0, -1, Q309/S309)</f>
        <v/>
      </c>
      <c r="V309">
        <f>IF(S309=0, -1, R309/S309)</f>
        <v/>
      </c>
    </row>
    <row r="310">
      <c r="A310" t="inlineStr">
        <is>
          <t>RC00618</t>
        </is>
      </c>
      <c r="B310" t="inlineStr">
        <is>
          <t>佛山大学</t>
        </is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4</v>
      </c>
      <c r="M310" t="n">
        <v>894.7943848390371</v>
      </c>
      <c r="N310" t="n">
        <v>17.12194111217947</v>
      </c>
      <c r="O310">
        <f>IF(N310=0, 0, M310/N310)</f>
        <v/>
      </c>
      <c r="P310">
        <f>RANK(O310, O$2:O$518, 0)</f>
        <v/>
      </c>
      <c r="Q310">
        <f>SUM(C310,F310)</f>
        <v/>
      </c>
      <c r="R310">
        <f>SUM(Q310,G310,H310,D310,E310)</f>
        <v/>
      </c>
      <c r="S310">
        <f>SUM(R310,I310,J310,K310,L310)</f>
        <v/>
      </c>
      <c r="T310">
        <f>IF(R310=0, -1, Q310/R310)</f>
        <v/>
      </c>
      <c r="U310">
        <f>IF(S310=0, -1, Q310/S310)</f>
        <v/>
      </c>
      <c r="V310">
        <f>IF(S310=0, -1, R310/S310)</f>
        <v/>
      </c>
    </row>
    <row r="311">
      <c r="A311" t="inlineStr">
        <is>
          <t>RC00265</t>
        </is>
      </c>
      <c r="B311" t="inlineStr">
        <is>
          <t>渤海大学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2</v>
      </c>
      <c r="K311" t="n">
        <v>0</v>
      </c>
      <c r="L311" t="n">
        <v>2</v>
      </c>
      <c r="M311" t="n">
        <v>1045.132399522978</v>
      </c>
      <c r="N311" t="n">
        <v>18.217239814934</v>
      </c>
      <c r="O311">
        <f>IF(N311=0, 0, M311/N311)</f>
        <v/>
      </c>
      <c r="P311">
        <f>RANK(O311, O$2:O$518, 0)</f>
        <v/>
      </c>
      <c r="Q311">
        <f>SUM(C311,F311)</f>
        <v/>
      </c>
      <c r="R311">
        <f>SUM(Q311,G311,H311,D311,E311)</f>
        <v/>
      </c>
      <c r="S311">
        <f>SUM(R311,I311,J311,K311,L311)</f>
        <v/>
      </c>
      <c r="T311">
        <f>IF(R311=0, -1, Q311/R311)</f>
        <v/>
      </c>
      <c r="U311">
        <f>IF(S311=0, -1, Q311/S311)</f>
        <v/>
      </c>
      <c r="V311">
        <f>IF(S311=0, -1, R311/S311)</f>
        <v/>
      </c>
    </row>
    <row r="312">
      <c r="A312" t="inlineStr">
        <is>
          <t>RC00354</t>
        </is>
      </c>
      <c r="B312" t="inlineStr">
        <is>
          <t>淮阴师范学院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208.2665381468206</v>
      </c>
      <c r="N312" t="n">
        <v>5.030437921392435</v>
      </c>
      <c r="O312">
        <f>IF(N312=0, 0, M312/N312)</f>
        <v/>
      </c>
      <c r="P312">
        <f>RANK(O312, O$2:O$518, 0)</f>
        <v/>
      </c>
      <c r="Q312">
        <f>SUM(C312,F312)</f>
        <v/>
      </c>
      <c r="R312">
        <f>SUM(Q312,G312,H312,D312,E312)</f>
        <v/>
      </c>
      <c r="S312">
        <f>SUM(R312,I312,J312,K312,L312)</f>
        <v/>
      </c>
      <c r="T312">
        <f>IF(R312=0, -1, Q312/R312)</f>
        <v/>
      </c>
      <c r="U312">
        <f>IF(S312=0, -1, Q312/S312)</f>
        <v/>
      </c>
      <c r="V312">
        <f>IF(S312=0, -1, R312/S312)</f>
        <v/>
      </c>
    </row>
    <row r="313">
      <c r="A313" t="inlineStr">
        <is>
          <t>RC00756</t>
        </is>
      </c>
      <c r="B313" t="inlineStr">
        <is>
          <t>兰州理工大学</t>
        </is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3</v>
      </c>
      <c r="K313" t="n">
        <v>1</v>
      </c>
      <c r="L313" t="n">
        <v>1</v>
      </c>
      <c r="M313" t="n">
        <v>1853.500294293003</v>
      </c>
      <c r="N313" t="n">
        <v>23.64214978355579</v>
      </c>
      <c r="O313">
        <f>IF(N313=0, 0, M313/N313)</f>
        <v/>
      </c>
      <c r="P313">
        <f>RANK(O313, O$2:O$518, 0)</f>
        <v/>
      </c>
      <c r="Q313">
        <f>SUM(C313,F313)</f>
        <v/>
      </c>
      <c r="R313">
        <f>SUM(Q313,G313,H313,D313,E313)</f>
        <v/>
      </c>
      <c r="S313">
        <f>SUM(R313,I313,J313,K313,L313)</f>
        <v/>
      </c>
      <c r="T313">
        <f>IF(R313=0, -1, Q313/R313)</f>
        <v/>
      </c>
      <c r="U313">
        <f>IF(S313=0, -1, Q313/S313)</f>
        <v/>
      </c>
      <c r="V313">
        <f>IF(S313=0, -1, R313/S313)</f>
        <v/>
      </c>
    </row>
    <row r="314">
      <c r="A314" t="inlineStr">
        <is>
          <t>RC00157</t>
        </is>
      </c>
      <c r="B314" t="inlineStr">
        <is>
          <t>北京信息科技大学</t>
        </is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t="n">
        <v>4</v>
      </c>
      <c r="L314" t="n">
        <v>1</v>
      </c>
      <c r="M314" t="n">
        <v>1959.698603854314</v>
      </c>
      <c r="N314" t="n">
        <v>27.36882691907874</v>
      </c>
      <c r="O314">
        <f>IF(N314=0, 0, M314/N314)</f>
        <v/>
      </c>
      <c r="P314">
        <f>RANK(O314, O$2:O$518, 0)</f>
        <v/>
      </c>
      <c r="Q314">
        <f>SUM(C314,F314)</f>
        <v/>
      </c>
      <c r="R314">
        <f>SUM(Q314,G314,H314,D314,E314)</f>
        <v/>
      </c>
      <c r="S314">
        <f>SUM(R314,I314,J314,K314,L314)</f>
        <v/>
      </c>
      <c r="T314">
        <f>IF(R314=0, -1, Q314/R314)</f>
        <v/>
      </c>
      <c r="U314">
        <f>IF(S314=0, -1, Q314/S314)</f>
        <v/>
      </c>
      <c r="V314">
        <f>IF(S314=0, -1, R314/S314)</f>
        <v/>
      </c>
    </row>
    <row r="315">
      <c r="A315" t="inlineStr">
        <is>
          <t>RC00347</t>
        </is>
      </c>
      <c r="B315" t="inlineStr">
        <is>
          <t>上海科技大学</t>
        </is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1</v>
      </c>
      <c r="I315" t="n">
        <v>1</v>
      </c>
      <c r="J315" t="n">
        <v>1</v>
      </c>
      <c r="K315" t="n">
        <v>3</v>
      </c>
      <c r="L315" t="n">
        <v>0</v>
      </c>
      <c r="M315" t="n">
        <v>2801.386927700778</v>
      </c>
      <c r="N315" t="n">
        <v>27.90440465990275</v>
      </c>
      <c r="O315">
        <f>IF(N315=0, 0, M315/N315)</f>
        <v/>
      </c>
      <c r="P315">
        <f>RANK(O315, O$2:O$518, 0)</f>
        <v/>
      </c>
      <c r="Q315">
        <f>SUM(C315,F315)</f>
        <v/>
      </c>
      <c r="R315">
        <f>SUM(Q315,G315,H315,D315,E315)</f>
        <v/>
      </c>
      <c r="S315">
        <f>SUM(R315,I315,J315,K315,L315)</f>
        <v/>
      </c>
      <c r="T315">
        <f>IF(R315=0, -1, Q315/R315)</f>
        <v/>
      </c>
      <c r="U315">
        <f>IF(S315=0, -1, Q315/S315)</f>
        <v/>
      </c>
      <c r="V315">
        <f>IF(S315=0, -1, R315/S315)</f>
        <v/>
      </c>
    </row>
    <row r="316">
      <c r="A316" t="inlineStr">
        <is>
          <t>RC00282</t>
        </is>
      </c>
      <c r="B316" t="inlineStr">
        <is>
          <t>长春理工大学</t>
        </is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 t="n">
        <v>2</v>
      </c>
      <c r="K316" t="n">
        <v>2</v>
      </c>
      <c r="L316" t="n">
        <v>2</v>
      </c>
      <c r="M316" t="n">
        <v>2885.372823494263</v>
      </c>
      <c r="N316" t="n">
        <v>30.74732685360295</v>
      </c>
      <c r="O316">
        <f>IF(N316=0, 0, M316/N316)</f>
        <v/>
      </c>
      <c r="P316">
        <f>RANK(O316, O$2:O$518, 0)</f>
        <v/>
      </c>
      <c r="Q316">
        <f>SUM(C316,F316)</f>
        <v/>
      </c>
      <c r="R316">
        <f>SUM(Q316,G316,H316,D316,E316)</f>
        <v/>
      </c>
      <c r="S316">
        <f>SUM(R316,I316,J316,K316,L316)</f>
        <v/>
      </c>
      <c r="T316">
        <f>IF(R316=0, -1, Q316/R316)</f>
        <v/>
      </c>
      <c r="U316">
        <f>IF(S316=0, -1, Q316/S316)</f>
        <v/>
      </c>
      <c r="V316">
        <f>IF(S316=0, -1, R316/S316)</f>
        <v/>
      </c>
    </row>
    <row r="317">
      <c r="A317" t="inlineStr">
        <is>
          <t>RC00291</t>
        </is>
      </c>
      <c r="B317" t="inlineStr">
        <is>
          <t>吉林师范大学</t>
        </is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2</v>
      </c>
      <c r="L317" t="n">
        <v>0</v>
      </c>
      <c r="M317" t="n">
        <v>396.4894359512089</v>
      </c>
      <c r="N317" t="n">
        <v>9.18686701579054</v>
      </c>
      <c r="O317">
        <f>IF(N317=0, 0, M317/N317)</f>
        <v/>
      </c>
      <c r="P317">
        <f>RANK(O317, O$2:O$518, 0)</f>
        <v/>
      </c>
      <c r="Q317">
        <f>SUM(C317,F317)</f>
        <v/>
      </c>
      <c r="R317">
        <f>SUM(Q317,G317,H317,D317,E317)</f>
        <v/>
      </c>
      <c r="S317">
        <f>SUM(R317,I317,J317,K317,L317)</f>
        <v/>
      </c>
      <c r="T317">
        <f>IF(R317=0, -1, Q317/R317)</f>
        <v/>
      </c>
      <c r="U317">
        <f>IF(S317=0, -1, Q317/S317)</f>
        <v/>
      </c>
      <c r="V317">
        <f>IF(S317=0, -1, R317/S317)</f>
        <v/>
      </c>
    </row>
    <row r="318">
      <c r="A318" t="inlineStr">
        <is>
          <t>RC01551</t>
        </is>
      </c>
      <c r="B318" t="inlineStr">
        <is>
          <t>西湖大学</t>
        </is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186.1357607795966</v>
      </c>
      <c r="N318" t="n">
        <v>4.709530201312334</v>
      </c>
      <c r="O318">
        <f>IF(N318=0, 0, M318/N318)</f>
        <v/>
      </c>
      <c r="P318">
        <f>RANK(O318, O$2:O$518, 0)</f>
        <v/>
      </c>
      <c r="Q318">
        <f>SUM(C318,F318)</f>
        <v/>
      </c>
      <c r="R318">
        <f>SUM(Q318,G318,H318,D318,E318)</f>
        <v/>
      </c>
      <c r="S318">
        <f>SUM(R318,I318,J318,K318,L318)</f>
        <v/>
      </c>
      <c r="T318">
        <f>IF(R318=0, -1, Q318/R318)</f>
        <v/>
      </c>
      <c r="U318">
        <f>IF(S318=0, -1, Q318/S318)</f>
        <v/>
      </c>
      <c r="V318">
        <f>IF(S318=0, -1, R318/S318)</f>
        <v/>
      </c>
    </row>
    <row r="319">
      <c r="A319" t="inlineStr">
        <is>
          <t>RC00653</t>
        </is>
      </c>
      <c r="B319" t="inlineStr">
        <is>
          <t>重庆科技大学</t>
        </is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346.5290315201377</v>
      </c>
      <c r="N319" t="n">
        <v>4.844187086458591</v>
      </c>
      <c r="O319">
        <f>IF(N319=0, 0, M319/N319)</f>
        <v/>
      </c>
      <c r="P319">
        <f>RANK(O319, O$2:O$518, 0)</f>
        <v/>
      </c>
      <c r="Q319">
        <f>SUM(C319,F319)</f>
        <v/>
      </c>
      <c r="R319">
        <f>SUM(Q319,G319,H319,D319,E319)</f>
        <v/>
      </c>
      <c r="S319">
        <f>SUM(R319,I319,J319,K319,L319)</f>
        <v/>
      </c>
      <c r="T319">
        <f>IF(R319=0, -1, Q319/R319)</f>
        <v/>
      </c>
      <c r="U319">
        <f>IF(S319=0, -1, Q319/S319)</f>
        <v/>
      </c>
      <c r="V319">
        <f>IF(S319=0, -1, R319/S319)</f>
        <v/>
      </c>
    </row>
    <row r="320">
      <c r="A320" t="inlineStr">
        <is>
          <t>RC00442</t>
        </is>
      </c>
      <c r="B320" t="inlineStr">
        <is>
          <t>东华理工大学</t>
        </is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5</v>
      </c>
      <c r="L320" t="n">
        <v>1</v>
      </c>
      <c r="M320" t="n">
        <v>2027.644944134321</v>
      </c>
      <c r="N320" t="n">
        <v>21.44668914687329</v>
      </c>
      <c r="O320">
        <f>IF(N320=0, 0, M320/N320)</f>
        <v/>
      </c>
      <c r="P320">
        <f>RANK(O320, O$2:O$518, 0)</f>
        <v/>
      </c>
      <c r="Q320">
        <f>SUM(C320,F320)</f>
        <v/>
      </c>
      <c r="R320">
        <f>SUM(Q320,G320,H320,D320,E320)</f>
        <v/>
      </c>
      <c r="S320">
        <f>SUM(R320,I320,J320,K320,L320)</f>
        <v/>
      </c>
      <c r="T320">
        <f>IF(R320=0, -1, Q320/R320)</f>
        <v/>
      </c>
      <c r="U320">
        <f>IF(S320=0, -1, Q320/S320)</f>
        <v/>
      </c>
      <c r="V320">
        <f>IF(S320=0, -1, R320/S320)</f>
        <v/>
      </c>
    </row>
    <row r="321">
      <c r="A321" t="inlineStr">
        <is>
          <t>RC00383</t>
        </is>
      </c>
      <c r="B321" t="inlineStr">
        <is>
          <t>台州学院</t>
        </is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220.1903221117541</v>
      </c>
      <c r="N321" t="n">
        <v>4.844187086458591</v>
      </c>
      <c r="O321">
        <f>IF(N321=0, 0, M321/N321)</f>
        <v/>
      </c>
      <c r="P321">
        <f>RANK(O321, O$2:O$518, 0)</f>
        <v/>
      </c>
      <c r="Q321">
        <f>SUM(C321,F321)</f>
        <v/>
      </c>
      <c r="R321">
        <f>SUM(Q321,G321,H321,D321,E321)</f>
        <v/>
      </c>
      <c r="S321">
        <f>SUM(R321,I321,J321,K321,L321)</f>
        <v/>
      </c>
      <c r="T321">
        <f>IF(R321=0, -1, Q321/R321)</f>
        <v/>
      </c>
      <c r="U321">
        <f>IF(S321=0, -1, Q321/S321)</f>
        <v/>
      </c>
      <c r="V321">
        <f>IF(S321=0, -1, R321/S321)</f>
        <v/>
      </c>
    </row>
    <row r="322">
      <c r="A322" t="inlineStr">
        <is>
          <t>RC00647</t>
        </is>
      </c>
      <c r="B322" t="inlineStr">
        <is>
          <t>重庆文理学院</t>
        </is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205.7516124650818</v>
      </c>
      <c r="N322" t="n">
        <v>4.844187086458591</v>
      </c>
      <c r="O322">
        <f>IF(N322=0, 0, M322/N322)</f>
        <v/>
      </c>
      <c r="P322">
        <f>RANK(O322, O$2:O$518, 0)</f>
        <v/>
      </c>
      <c r="Q322">
        <f>SUM(C322,F322)</f>
        <v/>
      </c>
      <c r="R322">
        <f>SUM(Q322,G322,H322,D322,E322)</f>
        <v/>
      </c>
      <c r="S322">
        <f>SUM(R322,I322,J322,K322,L322)</f>
        <v/>
      </c>
      <c r="T322">
        <f>IF(R322=0, -1, Q322/R322)</f>
        <v/>
      </c>
      <c r="U322">
        <f>IF(S322=0, -1, Q322/S322)</f>
        <v/>
      </c>
      <c r="V322">
        <f>IF(S322=0, -1, R322/S322)</f>
        <v/>
      </c>
    </row>
    <row r="323">
      <c r="A323" t="inlineStr">
        <is>
          <t>RC00105</t>
        </is>
      </c>
      <c r="B323" t="inlineStr">
        <is>
          <t>中国药科大学</t>
        </is>
      </c>
      <c r="C323" t="n">
        <v>0</v>
      </c>
      <c r="D323" t="n">
        <v>0</v>
      </c>
      <c r="E323" t="n">
        <v>0</v>
      </c>
      <c r="F323" t="n">
        <v>1</v>
      </c>
      <c r="G323" t="n">
        <v>0</v>
      </c>
      <c r="H323" t="n">
        <v>0</v>
      </c>
      <c r="I323" t="n">
        <v>1</v>
      </c>
      <c r="J323" t="n">
        <v>0</v>
      </c>
      <c r="K323" t="n">
        <v>1</v>
      </c>
      <c r="L323" t="n">
        <v>2</v>
      </c>
      <c r="M323" t="n">
        <v>6227.671570895325</v>
      </c>
      <c r="N323" t="n">
        <v>21.46920635826159</v>
      </c>
      <c r="O323">
        <f>IF(N323=0, 0, M323/N323)</f>
        <v/>
      </c>
      <c r="P323">
        <f>RANK(O323, O$2:O$518, 0)</f>
        <v/>
      </c>
      <c r="Q323">
        <f>SUM(C323,F323)</f>
        <v/>
      </c>
      <c r="R323">
        <f>SUM(Q323,G323,H323,D323,E323)</f>
        <v/>
      </c>
      <c r="S323">
        <f>SUM(R323,I323,J323,K323,L323)</f>
        <v/>
      </c>
      <c r="T323">
        <f>IF(R323=0, -1, Q323/R323)</f>
        <v/>
      </c>
      <c r="U323">
        <f>IF(S323=0, -1, Q323/S323)</f>
        <v/>
      </c>
      <c r="V323">
        <f>IF(S323=0, -1, R323/S323)</f>
        <v/>
      </c>
    </row>
    <row r="324">
      <c r="A324" t="inlineStr">
        <is>
          <t>RC00574</t>
        </is>
      </c>
      <c r="B324" t="inlineStr">
        <is>
          <t>衡阳师范学院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270.9984856774174</v>
      </c>
      <c r="N324" t="n">
        <v>3.828641396489095</v>
      </c>
      <c r="O324">
        <f>IF(N324=0, 0, M324/N324)</f>
        <v/>
      </c>
      <c r="P324">
        <f>RANK(O324, O$2:O$518, 0)</f>
        <v/>
      </c>
      <c r="Q324">
        <f>SUM(C324,F324)</f>
        <v/>
      </c>
      <c r="R324">
        <f>SUM(Q324,G324,H324,D324,E324)</f>
        <v/>
      </c>
      <c r="S324">
        <f>SUM(R324,I324,J324,K324,L324)</f>
        <v/>
      </c>
      <c r="T324">
        <f>IF(R324=0, -1, Q324/R324)</f>
        <v/>
      </c>
      <c r="U324">
        <f>IF(S324=0, -1, Q324/S324)</f>
        <v/>
      </c>
      <c r="V324">
        <f>IF(S324=0, -1, R324/S324)</f>
        <v/>
      </c>
    </row>
    <row r="325">
      <c r="A325" t="inlineStr">
        <is>
          <t>RC00050</t>
        </is>
      </c>
      <c r="B325" t="inlineStr">
        <is>
          <t>中国地质大学（北京）</t>
        </is>
      </c>
      <c r="C325" t="n">
        <v>0</v>
      </c>
      <c r="D325" t="n">
        <v>1</v>
      </c>
      <c r="E325" t="n">
        <v>0</v>
      </c>
      <c r="F325" t="n">
        <v>0</v>
      </c>
      <c r="G325" t="n">
        <v>0</v>
      </c>
      <c r="H325" t="n">
        <v>1</v>
      </c>
      <c r="I325" t="n">
        <v>0</v>
      </c>
      <c r="J325" t="n">
        <v>3</v>
      </c>
      <c r="K325" t="n">
        <v>3</v>
      </c>
      <c r="L325" t="n">
        <v>2</v>
      </c>
      <c r="M325" t="n">
        <v>6968.110242938107</v>
      </c>
      <c r="N325" t="n">
        <v>35.52724664827777</v>
      </c>
      <c r="O325">
        <f>IF(N325=0, 0, M325/N325)</f>
        <v/>
      </c>
      <c r="P325">
        <f>RANK(O325, O$2:O$518, 0)</f>
        <v/>
      </c>
      <c r="Q325">
        <f>SUM(C325,F325)</f>
        <v/>
      </c>
      <c r="R325">
        <f>SUM(Q325,G325,H325,D325,E325)</f>
        <v/>
      </c>
      <c r="S325">
        <f>SUM(R325,I325,J325,K325,L325)</f>
        <v/>
      </c>
      <c r="T325">
        <f>IF(R325=0, -1, Q325/R325)</f>
        <v/>
      </c>
      <c r="U325">
        <f>IF(S325=0, -1, Q325/S325)</f>
        <v/>
      </c>
      <c r="V325">
        <f>IF(S325=0, -1, R325/S325)</f>
        <v/>
      </c>
    </row>
    <row r="326">
      <c r="A326" t="inlineStr">
        <is>
          <t>RC00662</t>
        </is>
      </c>
      <c r="B326" t="inlineStr">
        <is>
          <t>成都信息工程大学</t>
        </is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2</v>
      </c>
      <c r="M326" t="n">
        <v>356.5155227423573</v>
      </c>
      <c r="N326" t="n">
        <v>7.003065458786462</v>
      </c>
      <c r="O326">
        <f>IF(N326=0, 0, M326/N326)</f>
        <v/>
      </c>
      <c r="P326">
        <f>RANK(O326, O$2:O$518, 0)</f>
        <v/>
      </c>
      <c r="Q326">
        <f>SUM(C326,F326)</f>
        <v/>
      </c>
      <c r="R326">
        <f>SUM(Q326,G326,H326,D326,E326)</f>
        <v/>
      </c>
      <c r="S326">
        <f>SUM(R326,I326,J326,K326,L326)</f>
        <v/>
      </c>
      <c r="T326">
        <f>IF(R326=0, -1, Q326/R326)</f>
        <v/>
      </c>
      <c r="U326">
        <f>IF(S326=0, -1, Q326/S326)</f>
        <v/>
      </c>
      <c r="V326">
        <f>IF(S326=0, -1, R326/S326)</f>
        <v/>
      </c>
    </row>
    <row r="327">
      <c r="A327" t="inlineStr">
        <is>
          <t>RC00331</t>
        </is>
      </c>
      <c r="B327" t="inlineStr">
        <is>
          <t>上海海洋大学</t>
        </is>
      </c>
      <c r="C327" t="n">
        <v>1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1</v>
      </c>
      <c r="K327" t="n">
        <v>2</v>
      </c>
      <c r="L327" t="n">
        <v>0</v>
      </c>
      <c r="M327" t="n">
        <v>3594.136620382784</v>
      </c>
      <c r="N327" t="n">
        <v>14.6476541705798</v>
      </c>
      <c r="O327">
        <f>IF(N327=0, 0, M327/N327)</f>
        <v/>
      </c>
      <c r="P327">
        <f>RANK(O327, O$2:O$518, 0)</f>
        <v/>
      </c>
      <c r="Q327">
        <f>SUM(C327,F327)</f>
        <v/>
      </c>
      <c r="R327">
        <f>SUM(Q327,G327,H327,D327,E327)</f>
        <v/>
      </c>
      <c r="S327">
        <f>SUM(R327,I327,J327,K327,L327)</f>
        <v/>
      </c>
      <c r="T327">
        <f>IF(R327=0, -1, Q327/R327)</f>
        <v/>
      </c>
      <c r="U327">
        <f>IF(S327=0, -1, Q327/S327)</f>
        <v/>
      </c>
      <c r="V327">
        <f>IF(S327=0, -1, R327/S327)</f>
        <v/>
      </c>
    </row>
    <row r="328">
      <c r="A328" t="inlineStr">
        <is>
          <t>RC00377</t>
        </is>
      </c>
      <c r="B328" t="inlineStr">
        <is>
          <t>浙江海洋大学</t>
        </is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1</v>
      </c>
      <c r="K328" t="n">
        <v>0</v>
      </c>
      <c r="L328" t="n">
        <v>1</v>
      </c>
      <c r="M328" t="n">
        <v>836.0843345492049</v>
      </c>
      <c r="N328" t="n">
        <v>5.717027701406222</v>
      </c>
      <c r="O328">
        <f>IF(N328=0, 0, M328/N328)</f>
        <v/>
      </c>
      <c r="P328">
        <f>RANK(O328, O$2:O$518, 0)</f>
        <v/>
      </c>
      <c r="Q328">
        <f>SUM(C328,F328)</f>
        <v/>
      </c>
      <c r="R328">
        <f>SUM(Q328,G328,H328,D328,E328)</f>
        <v/>
      </c>
      <c r="S328">
        <f>SUM(R328,I328,J328,K328,L328)</f>
        <v/>
      </c>
      <c r="T328">
        <f>IF(R328=0, -1, Q328/R328)</f>
        <v/>
      </c>
      <c r="U328">
        <f>IF(S328=0, -1, Q328/S328)</f>
        <v/>
      </c>
      <c r="V328">
        <f>IF(S328=0, -1, R328/S328)</f>
        <v/>
      </c>
    </row>
    <row r="329">
      <c r="A329" t="inlineStr">
        <is>
          <t>RC00181</t>
        </is>
      </c>
      <c r="B329" t="inlineStr">
        <is>
          <t>河北地质大学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1</v>
      </c>
      <c r="L329" t="n">
        <v>1</v>
      </c>
      <c r="M329" t="n">
        <v>639.9071383321098</v>
      </c>
      <c r="N329" t="n">
        <v>7.933796874815411</v>
      </c>
      <c r="O329">
        <f>IF(N329=0, 0, M329/N329)</f>
        <v/>
      </c>
      <c r="P329">
        <f>RANK(O329, O$2:O$518, 0)</f>
        <v/>
      </c>
      <c r="Q329">
        <f>SUM(C329,F329)</f>
        <v/>
      </c>
      <c r="R329">
        <f>SUM(Q329,G329,H329,D329,E329)</f>
        <v/>
      </c>
      <c r="S329">
        <f>SUM(R329,I329,J329,K329,L329)</f>
        <v/>
      </c>
      <c r="T329">
        <f>IF(R329=0, -1, Q329/R329)</f>
        <v/>
      </c>
      <c r="U329">
        <f>IF(S329=0, -1, Q329/S329)</f>
        <v/>
      </c>
      <c r="V329">
        <f>IF(S329=0, -1, R329/S329)</f>
        <v/>
      </c>
    </row>
    <row r="330">
      <c r="A330" t="inlineStr">
        <is>
          <t>RC00039</t>
        </is>
      </c>
      <c r="B330" t="inlineStr">
        <is>
          <t>北京协和医学院</t>
        </is>
      </c>
      <c r="C330" t="n">
        <v>0</v>
      </c>
      <c r="D330" t="n">
        <v>0</v>
      </c>
      <c r="E330" t="n">
        <v>0</v>
      </c>
      <c r="F330" t="n">
        <v>3</v>
      </c>
      <c r="G330" t="n">
        <v>1</v>
      </c>
      <c r="H330" t="n">
        <v>1</v>
      </c>
      <c r="I330" t="n">
        <v>3</v>
      </c>
      <c r="J330" t="n">
        <v>0</v>
      </c>
      <c r="K330" t="n">
        <v>0</v>
      </c>
      <c r="L330" t="n">
        <v>1</v>
      </c>
      <c r="M330" t="n">
        <v>18789.64173502561</v>
      </c>
      <c r="N330" t="n">
        <v>36.80885422797309</v>
      </c>
      <c r="O330">
        <f>IF(N330=0, 0, M330/N330)</f>
        <v/>
      </c>
      <c r="P330">
        <f>RANK(O330, O$2:O$518, 0)</f>
        <v/>
      </c>
      <c r="Q330">
        <f>SUM(C330,F330)</f>
        <v/>
      </c>
      <c r="R330">
        <f>SUM(Q330,G330,H330,D330,E330)</f>
        <v/>
      </c>
      <c r="S330">
        <f>SUM(R330,I330,J330,K330,L330)</f>
        <v/>
      </c>
      <c r="T330">
        <f>IF(R330=0, -1, Q330/R330)</f>
        <v/>
      </c>
      <c r="U330">
        <f>IF(S330=0, -1, Q330/S330)</f>
        <v/>
      </c>
      <c r="V330">
        <f>IF(S330=0, -1, R330/S330)</f>
        <v/>
      </c>
    </row>
    <row r="331">
      <c r="A331" t="inlineStr">
        <is>
          <t>RC00094</t>
        </is>
      </c>
      <c r="B331" t="inlineStr">
        <is>
          <t>华南农业大学</t>
        </is>
      </c>
      <c r="C331" t="n">
        <v>0</v>
      </c>
      <c r="D331" t="n">
        <v>0</v>
      </c>
      <c r="E331" t="n">
        <v>0</v>
      </c>
      <c r="F331" t="n">
        <v>0</v>
      </c>
      <c r="G331" t="n">
        <v>1</v>
      </c>
      <c r="H331" t="n">
        <v>2</v>
      </c>
      <c r="I331" t="n">
        <v>5</v>
      </c>
      <c r="J331" t="n">
        <v>2</v>
      </c>
      <c r="K331" t="n">
        <v>6</v>
      </c>
      <c r="L331" t="n">
        <v>2</v>
      </c>
      <c r="M331" t="n">
        <v>14437.07907847311</v>
      </c>
      <c r="N331" t="n">
        <v>66.28850093595251</v>
      </c>
      <c r="O331">
        <f>IF(N331=0, 0, M331/N331)</f>
        <v/>
      </c>
      <c r="P331">
        <f>RANK(O331, O$2:O$518, 0)</f>
        <v/>
      </c>
      <c r="Q331">
        <f>SUM(C331,F331)</f>
        <v/>
      </c>
      <c r="R331">
        <f>SUM(Q331,G331,H331,D331,E331)</f>
        <v/>
      </c>
      <c r="S331">
        <f>SUM(R331,I331,J331,K331,L331)</f>
        <v/>
      </c>
      <c r="T331">
        <f>IF(R331=0, -1, Q331/R331)</f>
        <v/>
      </c>
      <c r="U331">
        <f>IF(S331=0, -1, Q331/S331)</f>
        <v/>
      </c>
      <c r="V331">
        <f>IF(S331=0, -1, R331/S331)</f>
        <v/>
      </c>
    </row>
    <row r="332">
      <c r="A332" t="inlineStr">
        <is>
          <t>RC00310</t>
        </is>
      </c>
      <c r="B332" t="inlineStr">
        <is>
          <t>东北农业大学</t>
        </is>
      </c>
      <c r="C332" t="n">
        <v>0</v>
      </c>
      <c r="D332" t="n">
        <v>0</v>
      </c>
      <c r="E332" t="n">
        <v>0</v>
      </c>
      <c r="F332" t="n">
        <v>0</v>
      </c>
      <c r="G332" t="n">
        <v>1</v>
      </c>
      <c r="H332" t="n">
        <v>0</v>
      </c>
      <c r="I332" t="n">
        <v>3</v>
      </c>
      <c r="J332" t="n">
        <v>3</v>
      </c>
      <c r="K332" t="n">
        <v>2</v>
      </c>
      <c r="L332" t="n">
        <v>1</v>
      </c>
      <c r="M332" t="n">
        <v>6529.846289457337</v>
      </c>
      <c r="N332" t="n">
        <v>34.98579950613264</v>
      </c>
      <c r="O332">
        <f>IF(N332=0, 0, M332/N332)</f>
        <v/>
      </c>
      <c r="P332">
        <f>RANK(O332, O$2:O$518, 0)</f>
        <v/>
      </c>
      <c r="Q332">
        <f>SUM(C332,F332)</f>
        <v/>
      </c>
      <c r="R332">
        <f>SUM(Q332,G332,H332,D332,E332)</f>
        <v/>
      </c>
      <c r="S332">
        <f>SUM(R332,I332,J332,K332,L332)</f>
        <v/>
      </c>
      <c r="T332">
        <f>IF(R332=0, -1, Q332/R332)</f>
        <v/>
      </c>
      <c r="U332">
        <f>IF(S332=0, -1, Q332/S332)</f>
        <v/>
      </c>
      <c r="V332">
        <f>IF(S332=0, -1, R332/S332)</f>
        <v/>
      </c>
    </row>
    <row r="333">
      <c r="A333" t="inlineStr">
        <is>
          <t>RC00061</t>
        </is>
      </c>
      <c r="B333" t="inlineStr">
        <is>
          <t>中国人民解放军陆军军医大学</t>
        </is>
      </c>
      <c r="C333" t="n">
        <v>0</v>
      </c>
      <c r="D333" t="n">
        <v>0</v>
      </c>
      <c r="E333" t="n">
        <v>0</v>
      </c>
      <c r="F333" t="n">
        <v>0</v>
      </c>
      <c r="G333" t="n">
        <v>1</v>
      </c>
      <c r="H333" t="n">
        <v>0</v>
      </c>
      <c r="I333" t="n">
        <v>2</v>
      </c>
      <c r="J333" t="n">
        <v>1</v>
      </c>
      <c r="K333" t="n">
        <v>3</v>
      </c>
      <c r="L333" t="n">
        <v>1</v>
      </c>
      <c r="M333" t="n">
        <v>6515.656561109618</v>
      </c>
      <c r="N333" t="n">
        <v>31.08821463625046</v>
      </c>
      <c r="O333">
        <f>IF(N333=0, 0, M333/N333)</f>
        <v/>
      </c>
      <c r="P333">
        <f>RANK(O333, O$2:O$518, 0)</f>
        <v/>
      </c>
      <c r="Q333">
        <f>SUM(C333,F333)</f>
        <v/>
      </c>
      <c r="R333">
        <f>SUM(Q333,G333,H333,D333,E333)</f>
        <v/>
      </c>
      <c r="S333">
        <f>SUM(R333,I333,J333,K333,L333)</f>
        <v/>
      </c>
      <c r="T333">
        <f>IF(R333=0, -1, Q333/R333)</f>
        <v/>
      </c>
      <c r="U333">
        <f>IF(S333=0, -1, Q333/S333)</f>
        <v/>
      </c>
      <c r="V333">
        <f>IF(S333=0, -1, R333/S333)</f>
        <v/>
      </c>
    </row>
    <row r="334">
      <c r="A334" t="inlineStr">
        <is>
          <t>RC00040</t>
        </is>
      </c>
      <c r="B334" t="inlineStr">
        <is>
          <t>首都医科大学</t>
        </is>
      </c>
      <c r="C334" t="n">
        <v>0</v>
      </c>
      <c r="D334" t="n">
        <v>0</v>
      </c>
      <c r="E334" t="n">
        <v>0</v>
      </c>
      <c r="F334" t="n">
        <v>0</v>
      </c>
      <c r="G334" t="n">
        <v>2</v>
      </c>
      <c r="H334" t="n">
        <v>0</v>
      </c>
      <c r="I334" t="n">
        <v>5</v>
      </c>
      <c r="J334" t="n">
        <v>2</v>
      </c>
      <c r="K334" t="n">
        <v>2</v>
      </c>
      <c r="L334" t="n">
        <v>0</v>
      </c>
      <c r="M334" t="n">
        <v>11710.27313011957</v>
      </c>
      <c r="N334" t="n">
        <v>43.11147320371799</v>
      </c>
      <c r="O334">
        <f>IF(N334=0, 0, M334/N334)</f>
        <v/>
      </c>
      <c r="P334">
        <f>RANK(O334, O$2:O$518, 0)</f>
        <v/>
      </c>
      <c r="Q334">
        <f>SUM(C334,F334)</f>
        <v/>
      </c>
      <c r="R334">
        <f>SUM(Q334,G334,H334,D334,E334)</f>
        <v/>
      </c>
      <c r="S334">
        <f>SUM(R334,I334,J334,K334,L334)</f>
        <v/>
      </c>
      <c r="T334">
        <f>IF(R334=0, -1, Q334/R334)</f>
        <v/>
      </c>
      <c r="U334">
        <f>IF(S334=0, -1, Q334/S334)</f>
        <v/>
      </c>
      <c r="V334">
        <f>IF(S334=0, -1, R334/S334)</f>
        <v/>
      </c>
    </row>
    <row r="335">
      <c r="A335" t="inlineStr">
        <is>
          <t>RC00047</t>
        </is>
      </c>
      <c r="B335" t="inlineStr">
        <is>
          <t>南京医科大学</t>
        </is>
      </c>
      <c r="C335" t="n">
        <v>0</v>
      </c>
      <c r="D335" t="n">
        <v>0</v>
      </c>
      <c r="E335" t="n">
        <v>0</v>
      </c>
      <c r="F335" t="n">
        <v>1</v>
      </c>
      <c r="G335" t="n">
        <v>0</v>
      </c>
      <c r="H335" t="n">
        <v>2</v>
      </c>
      <c r="I335" t="n">
        <v>3</v>
      </c>
      <c r="J335" t="n">
        <v>1</v>
      </c>
      <c r="K335" t="n">
        <v>1</v>
      </c>
      <c r="L335" t="n">
        <v>1</v>
      </c>
      <c r="M335" t="n">
        <v>10296.69698422981</v>
      </c>
      <c r="N335" t="n">
        <v>36.77111389999024</v>
      </c>
      <c r="O335">
        <f>IF(N335=0, 0, M335/N335)</f>
        <v/>
      </c>
      <c r="P335">
        <f>RANK(O335, O$2:O$518, 0)</f>
        <v/>
      </c>
      <c r="Q335">
        <f>SUM(C335,F335)</f>
        <v/>
      </c>
      <c r="R335">
        <f>SUM(Q335,G335,H335,D335,E335)</f>
        <v/>
      </c>
      <c r="S335">
        <f>SUM(R335,I335,J335,K335,L335)</f>
        <v/>
      </c>
      <c r="T335">
        <f>IF(R335=0, -1, Q335/R335)</f>
        <v/>
      </c>
      <c r="U335">
        <f>IF(S335=0, -1, Q335/S335)</f>
        <v/>
      </c>
      <c r="V335">
        <f>IF(S335=0, -1, R335/S335)</f>
        <v/>
      </c>
    </row>
    <row r="336">
      <c r="A336" t="inlineStr">
        <is>
          <t>RC00069</t>
        </is>
      </c>
      <c r="B336" t="inlineStr">
        <is>
          <t>中国医科大学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1</v>
      </c>
      <c r="I336" t="n">
        <v>2</v>
      </c>
      <c r="J336" t="n">
        <v>2</v>
      </c>
      <c r="K336" t="n">
        <v>1</v>
      </c>
      <c r="L336" t="n">
        <v>1</v>
      </c>
      <c r="M336" t="n">
        <v>4583.53470158679</v>
      </c>
      <c r="N336" t="n">
        <v>28.13170307584975</v>
      </c>
      <c r="O336">
        <f>IF(N336=0, 0, M336/N336)</f>
        <v/>
      </c>
      <c r="P336">
        <f>RANK(O336, O$2:O$518, 0)</f>
        <v/>
      </c>
      <c r="Q336">
        <f>SUM(C336,F336)</f>
        <v/>
      </c>
      <c r="R336">
        <f>SUM(Q336,G336,H336,D336,E336)</f>
        <v/>
      </c>
      <c r="S336">
        <f>SUM(R336,I336,J336,K336,L336)</f>
        <v/>
      </c>
      <c r="T336">
        <f>IF(R336=0, -1, Q336/R336)</f>
        <v/>
      </c>
      <c r="U336">
        <f>IF(S336=0, -1, Q336/S336)</f>
        <v/>
      </c>
      <c r="V336">
        <f>IF(S336=0, -1, R336/S336)</f>
        <v/>
      </c>
    </row>
    <row r="337">
      <c r="A337" t="inlineStr">
        <is>
          <t>RC00095</t>
        </is>
      </c>
      <c r="B337" t="inlineStr">
        <is>
          <t>广州医科大学</t>
        </is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2</v>
      </c>
      <c r="J337" t="n">
        <v>3</v>
      </c>
      <c r="K337" t="n">
        <v>0</v>
      </c>
      <c r="L337" t="n">
        <v>2</v>
      </c>
      <c r="M337" t="n">
        <v>4732.200364604611</v>
      </c>
      <c r="N337" t="n">
        <v>28.78562954325642</v>
      </c>
      <c r="O337">
        <f>IF(N337=0, 0, M337/N337)</f>
        <v/>
      </c>
      <c r="P337">
        <f>RANK(O337, O$2:O$518, 0)</f>
        <v/>
      </c>
      <c r="Q337">
        <f>SUM(C337,F337)</f>
        <v/>
      </c>
      <c r="R337">
        <f>SUM(Q337,G337,H337,D337,E337)</f>
        <v/>
      </c>
      <c r="S337">
        <f>SUM(R337,I337,J337,K337,L337)</f>
        <v/>
      </c>
      <c r="T337">
        <f>IF(R337=0, -1, Q337/R337)</f>
        <v/>
      </c>
      <c r="U337">
        <f>IF(S337=0, -1, Q337/S337)</f>
        <v/>
      </c>
      <c r="V337">
        <f>IF(S337=0, -1, R337/S337)</f>
        <v/>
      </c>
    </row>
    <row r="338">
      <c r="A338" t="inlineStr">
        <is>
          <t>RC00509</t>
        </is>
      </c>
      <c r="B338" t="inlineStr">
        <is>
          <t>河南农业大学</t>
        </is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3</v>
      </c>
      <c r="J338" t="n">
        <v>4</v>
      </c>
      <c r="K338" t="n">
        <v>2</v>
      </c>
      <c r="L338" t="n">
        <v>1</v>
      </c>
      <c r="M338" t="n">
        <v>5724.325402190581</v>
      </c>
      <c r="N338" t="n">
        <v>34.40387796068291</v>
      </c>
      <c r="O338">
        <f>IF(N338=0, 0, M338/N338)</f>
        <v/>
      </c>
      <c r="P338">
        <f>RANK(O338, O$2:O$518, 0)</f>
        <v/>
      </c>
      <c r="Q338">
        <f>SUM(C338,F338)</f>
        <v/>
      </c>
      <c r="R338">
        <f>SUM(Q338,G338,H338,D338,E338)</f>
        <v/>
      </c>
      <c r="S338">
        <f>SUM(R338,I338,J338,K338,L338)</f>
        <v/>
      </c>
      <c r="T338">
        <f>IF(R338=0, -1, Q338/R338)</f>
        <v/>
      </c>
      <c r="U338">
        <f>IF(S338=0, -1, Q338/S338)</f>
        <v/>
      </c>
      <c r="V338">
        <f>IF(S338=0, -1, R338/S338)</f>
        <v/>
      </c>
    </row>
    <row r="339">
      <c r="A339" t="inlineStr">
        <is>
          <t>RC00470</t>
        </is>
      </c>
      <c r="B339" t="inlineStr">
        <is>
          <t>山东农业大学</t>
        </is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1</v>
      </c>
      <c r="I339" t="n">
        <v>2</v>
      </c>
      <c r="J339" t="n">
        <v>3</v>
      </c>
      <c r="K339" t="n">
        <v>3</v>
      </c>
      <c r="L339" t="n">
        <v>1</v>
      </c>
      <c r="M339" t="n">
        <v>6370.511385407086</v>
      </c>
      <c r="N339" t="n">
        <v>34.59493319744562</v>
      </c>
      <c r="O339">
        <f>IF(N339=0, 0, M339/N339)</f>
        <v/>
      </c>
      <c r="P339">
        <f>RANK(O339, O$2:O$518, 0)</f>
        <v/>
      </c>
      <c r="Q339">
        <f>SUM(C339,F339)</f>
        <v/>
      </c>
      <c r="R339">
        <f>SUM(Q339,G339,H339,D339,E339)</f>
        <v/>
      </c>
      <c r="S339">
        <f>SUM(R339,I339,J339,K339,L339)</f>
        <v/>
      </c>
      <c r="T339">
        <f>IF(R339=0, -1, Q339/R339)</f>
        <v/>
      </c>
      <c r="U339">
        <f>IF(S339=0, -1, Q339/S339)</f>
        <v/>
      </c>
      <c r="V339">
        <f>IF(S339=0, -1, R339/S339)</f>
        <v/>
      </c>
    </row>
    <row r="340">
      <c r="A340" t="inlineStr">
        <is>
          <t>RC00688</t>
        </is>
      </c>
      <c r="B340" t="inlineStr">
        <is>
          <t>贵州医科大学</t>
        </is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1</v>
      </c>
      <c r="J340" t="n">
        <v>2</v>
      </c>
      <c r="K340" t="n">
        <v>0</v>
      </c>
      <c r="L340" t="n">
        <v>2</v>
      </c>
      <c r="M340" t="n">
        <v>2195.203863254993</v>
      </c>
      <c r="N340" t="n">
        <v>19.16982406317207</v>
      </c>
      <c r="O340">
        <f>IF(N340=0, 0, M340/N340)</f>
        <v/>
      </c>
      <c r="P340">
        <f>RANK(O340, O$2:O$518, 0)</f>
        <v/>
      </c>
      <c r="Q340">
        <f>SUM(C340,F340)</f>
        <v/>
      </c>
      <c r="R340">
        <f>SUM(Q340,G340,H340,D340,E340)</f>
        <v/>
      </c>
      <c r="S340">
        <f>SUM(R340,I340,J340,K340,L340)</f>
        <v/>
      </c>
      <c r="T340">
        <f>IF(R340=0, -1, Q340/R340)</f>
        <v/>
      </c>
      <c r="U340">
        <f>IF(S340=0, -1, Q340/S340)</f>
        <v/>
      </c>
      <c r="V340">
        <f>IF(S340=0, -1, R340/S340)</f>
        <v/>
      </c>
    </row>
    <row r="341">
      <c r="A341" t="inlineStr">
        <is>
          <t>RC00287</t>
        </is>
      </c>
      <c r="B341" t="inlineStr">
        <is>
          <t>吉林农业大学</t>
        </is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2</v>
      </c>
      <c r="J341" t="n">
        <v>0</v>
      </c>
      <c r="K341" t="n">
        <v>4</v>
      </c>
      <c r="L341" t="n">
        <v>2</v>
      </c>
      <c r="M341" t="n">
        <v>3606.548147617594</v>
      </c>
      <c r="N341" t="n">
        <v>29.91130159494617</v>
      </c>
      <c r="O341">
        <f>IF(N341=0, 0, M341/N341)</f>
        <v/>
      </c>
      <c r="P341">
        <f>RANK(O341, O$2:O$518, 0)</f>
        <v/>
      </c>
      <c r="Q341">
        <f>SUM(C341,F341)</f>
        <v/>
      </c>
      <c r="R341">
        <f>SUM(Q341,G341,H341,D341,E341)</f>
        <v/>
      </c>
      <c r="S341">
        <f>SUM(R341,I341,J341,K341,L341)</f>
        <v/>
      </c>
      <c r="T341">
        <f>IF(R341=0, -1, Q341/R341)</f>
        <v/>
      </c>
      <c r="U341">
        <f>IF(S341=0, -1, Q341/S341)</f>
        <v/>
      </c>
      <c r="V341">
        <f>IF(S341=0, -1, R341/S341)</f>
        <v/>
      </c>
    </row>
    <row r="342">
      <c r="A342" t="inlineStr">
        <is>
          <t>RC00099</t>
        </is>
      </c>
      <c r="B342" t="inlineStr">
        <is>
          <t>中国人民解放军空军军医大学</t>
        </is>
      </c>
      <c r="C342" t="n">
        <v>0</v>
      </c>
      <c r="D342" t="n">
        <v>1</v>
      </c>
      <c r="E342" t="n">
        <v>0</v>
      </c>
      <c r="F342" t="n">
        <v>0</v>
      </c>
      <c r="G342" t="n">
        <v>0</v>
      </c>
      <c r="H342" t="n">
        <v>1</v>
      </c>
      <c r="I342" t="n">
        <v>2</v>
      </c>
      <c r="J342" t="n">
        <v>0</v>
      </c>
      <c r="K342" t="n">
        <v>4</v>
      </c>
      <c r="L342" t="n">
        <v>0</v>
      </c>
      <c r="M342" t="n">
        <v>5698.715856524662</v>
      </c>
      <c r="N342" t="n">
        <v>30.65743172015801</v>
      </c>
      <c r="O342">
        <f>IF(N342=0, 0, M342/N342)</f>
        <v/>
      </c>
      <c r="P342">
        <f>RANK(O342, O$2:O$518, 0)</f>
        <v/>
      </c>
      <c r="Q342">
        <f>SUM(C342,F342)</f>
        <v/>
      </c>
      <c r="R342">
        <f>SUM(Q342,G342,H342,D342,E342)</f>
        <v/>
      </c>
      <c r="S342">
        <f>SUM(R342,I342,J342,K342,L342)</f>
        <v/>
      </c>
      <c r="T342">
        <f>IF(R342=0, -1, Q342/R342)</f>
        <v/>
      </c>
      <c r="U342">
        <f>IF(S342=0, -1, Q342/S342)</f>
        <v/>
      </c>
      <c r="V342">
        <f>IF(S342=0, -1, R342/S342)</f>
        <v/>
      </c>
    </row>
    <row r="343">
      <c r="A343" t="inlineStr">
        <is>
          <t>RC00082</t>
        </is>
      </c>
      <c r="B343" t="inlineStr">
        <is>
          <t>中国人民解放军海军军医大学</t>
        </is>
      </c>
      <c r="C343" t="n">
        <v>0</v>
      </c>
      <c r="D343" t="n">
        <v>0</v>
      </c>
      <c r="E343" t="n">
        <v>0</v>
      </c>
      <c r="F343" t="n">
        <v>0</v>
      </c>
      <c r="G343" t="n">
        <v>1</v>
      </c>
      <c r="H343" t="n">
        <v>2</v>
      </c>
      <c r="I343" t="n">
        <v>2</v>
      </c>
      <c r="J343" t="n">
        <v>1</v>
      </c>
      <c r="K343" t="n">
        <v>2</v>
      </c>
      <c r="L343" t="n">
        <v>0</v>
      </c>
      <c r="M343" t="n">
        <v>7615.772777417885</v>
      </c>
      <c r="N343" t="n">
        <v>30.64192753362204</v>
      </c>
      <c r="O343">
        <f>IF(N343=0, 0, M343/N343)</f>
        <v/>
      </c>
      <c r="P343">
        <f>RANK(O343, O$2:O$518, 0)</f>
        <v/>
      </c>
      <c r="Q343">
        <f>SUM(C343,F343)</f>
        <v/>
      </c>
      <c r="R343">
        <f>SUM(Q343,G343,H343,D343,E343)</f>
        <v/>
      </c>
      <c r="S343">
        <f>SUM(R343,I343,J343,K343,L343)</f>
        <v/>
      </c>
      <c r="T343">
        <f>IF(R343=0, -1, Q343/R343)</f>
        <v/>
      </c>
      <c r="U343">
        <f>IF(S343=0, -1, Q343/S343)</f>
        <v/>
      </c>
      <c r="V343">
        <f>IF(S343=0, -1, R343/S343)</f>
        <v/>
      </c>
    </row>
    <row r="344">
      <c r="A344" t="inlineStr">
        <is>
          <t>RC00086</t>
        </is>
      </c>
      <c r="B344" t="inlineStr">
        <is>
          <t>哈尔滨医科大学</t>
        </is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1</v>
      </c>
      <c r="I344" t="n">
        <v>2</v>
      </c>
      <c r="J344" t="n">
        <v>3</v>
      </c>
      <c r="K344" t="n">
        <v>1</v>
      </c>
      <c r="L344" t="n">
        <v>2</v>
      </c>
      <c r="M344" t="n">
        <v>6188.707098505013</v>
      </c>
      <c r="N344" t="n">
        <v>36.77111389999024</v>
      </c>
      <c r="O344">
        <f>IF(N344=0, 0, M344/N344)</f>
        <v/>
      </c>
      <c r="P344">
        <f>RANK(O344, O$2:O$518, 0)</f>
        <v/>
      </c>
      <c r="Q344">
        <f>SUM(C344,F344)</f>
        <v/>
      </c>
      <c r="R344">
        <f>SUM(Q344,G344,H344,D344,E344)</f>
        <v/>
      </c>
      <c r="S344">
        <f>SUM(R344,I344,J344,K344,L344)</f>
        <v/>
      </c>
      <c r="T344">
        <f>IF(R344=0, -1, Q344/R344)</f>
        <v/>
      </c>
      <c r="U344">
        <f>IF(S344=0, -1, Q344/S344)</f>
        <v/>
      </c>
      <c r="V344">
        <f>IF(S344=0, -1, R344/S344)</f>
        <v/>
      </c>
    </row>
    <row r="345">
      <c r="A345" t="inlineStr">
        <is>
          <t>RC00689</t>
        </is>
      </c>
      <c r="B345" t="inlineStr">
        <is>
          <t>遵义医科大学</t>
        </is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1</v>
      </c>
      <c r="J345" t="n">
        <v>0</v>
      </c>
      <c r="K345" t="n">
        <v>2</v>
      </c>
      <c r="L345" t="n">
        <v>2</v>
      </c>
      <c r="M345" t="n">
        <v>1904.902928584575</v>
      </c>
      <c r="N345" t="n">
        <v>21.11240642213471</v>
      </c>
      <c r="O345">
        <f>IF(N345=0, 0, M345/N345)</f>
        <v/>
      </c>
      <c r="P345">
        <f>RANK(O345, O$2:O$518, 0)</f>
        <v/>
      </c>
      <c r="Q345">
        <f>SUM(C345,F345)</f>
        <v/>
      </c>
      <c r="R345">
        <f>SUM(Q345,G345,H345,D345,E345)</f>
        <v/>
      </c>
      <c r="S345">
        <f>SUM(R345,I345,J345,K345,L345)</f>
        <v/>
      </c>
      <c r="T345">
        <f>IF(R345=0, -1, Q345/R345)</f>
        <v/>
      </c>
      <c r="U345">
        <f>IF(S345=0, -1, Q345/S345)</f>
        <v/>
      </c>
      <c r="V345">
        <f>IF(S345=0, -1, R345/S345)</f>
        <v/>
      </c>
    </row>
    <row r="346">
      <c r="A346" t="inlineStr">
        <is>
          <t>RC00091</t>
        </is>
      </c>
      <c r="B346" t="inlineStr">
        <is>
          <t>安徽医科大学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2</v>
      </c>
      <c r="J346" t="n">
        <v>2</v>
      </c>
      <c r="K346" t="n">
        <v>1</v>
      </c>
      <c r="L346" t="n">
        <v>3</v>
      </c>
      <c r="M346" t="n">
        <v>3980.82323391162</v>
      </c>
      <c r="N346" t="n">
        <v>32.89683122254494</v>
      </c>
      <c r="O346">
        <f>IF(N346=0, 0, M346/N346)</f>
        <v/>
      </c>
      <c r="P346">
        <f>RANK(O346, O$2:O$518, 0)</f>
        <v/>
      </c>
      <c r="Q346">
        <f>SUM(C346,F346)</f>
        <v/>
      </c>
      <c r="R346">
        <f>SUM(Q346,G346,H346,D346,E346)</f>
        <v/>
      </c>
      <c r="S346">
        <f>SUM(R346,I346,J346,K346,L346)</f>
        <v/>
      </c>
      <c r="T346">
        <f>IF(R346=0, -1, Q346/R346)</f>
        <v/>
      </c>
      <c r="U346">
        <f>IF(S346=0, -1, Q346/S346)</f>
        <v/>
      </c>
      <c r="V346">
        <f>IF(S346=0, -1, R346/S346)</f>
        <v/>
      </c>
    </row>
    <row r="347">
      <c r="A347" t="inlineStr">
        <is>
          <t>RC00077</t>
        </is>
      </c>
      <c r="B347" t="inlineStr">
        <is>
          <t>温州医科大学</t>
        </is>
      </c>
      <c r="C347" t="n">
        <v>0</v>
      </c>
      <c r="D347" t="n">
        <v>0</v>
      </c>
      <c r="E347" t="n">
        <v>0</v>
      </c>
      <c r="F347" t="n">
        <v>0</v>
      </c>
      <c r="G347" t="n">
        <v>1</v>
      </c>
      <c r="H347" t="n">
        <v>0</v>
      </c>
      <c r="I347" t="n">
        <v>1</v>
      </c>
      <c r="J347" t="n">
        <v>1</v>
      </c>
      <c r="K347" t="n">
        <v>4</v>
      </c>
      <c r="L347" t="n">
        <v>1</v>
      </c>
      <c r="M347" t="n">
        <v>5093.352856012066</v>
      </c>
      <c r="N347" t="n">
        <v>33.04765411227952</v>
      </c>
      <c r="O347">
        <f>IF(N347=0, 0, M347/N347)</f>
        <v/>
      </c>
      <c r="P347">
        <f>RANK(O347, O$2:O$518, 0)</f>
        <v/>
      </c>
      <c r="Q347">
        <f>SUM(C347,F347)</f>
        <v/>
      </c>
      <c r="R347">
        <f>SUM(Q347,G347,H347,D347,E347)</f>
        <v/>
      </c>
      <c r="S347">
        <f>SUM(R347,I347,J347,K347,L347)</f>
        <v/>
      </c>
      <c r="T347">
        <f>IF(R347=0, -1, Q347/R347)</f>
        <v/>
      </c>
      <c r="U347">
        <f>IF(S347=0, -1, Q347/S347)</f>
        <v/>
      </c>
      <c r="V347">
        <f>IF(S347=0, -1, R347/S347)</f>
        <v/>
      </c>
    </row>
    <row r="348">
      <c r="A348" t="inlineStr">
        <is>
          <t>RC00581</t>
        </is>
      </c>
      <c r="B348" t="inlineStr">
        <is>
          <t>南华大学</t>
        </is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1</v>
      </c>
      <c r="K348" t="n">
        <v>2</v>
      </c>
      <c r="L348" t="n">
        <v>0</v>
      </c>
      <c r="M348" t="n">
        <v>1438.409761942043</v>
      </c>
      <c r="N348" t="n">
        <v>11.51210512858633</v>
      </c>
      <c r="O348">
        <f>IF(N348=0, 0, M348/N348)</f>
        <v/>
      </c>
      <c r="P348">
        <f>RANK(O348, O$2:O$518, 0)</f>
        <v/>
      </c>
      <c r="Q348">
        <f>SUM(C348,F348)</f>
        <v/>
      </c>
      <c r="R348">
        <f>SUM(Q348,G348,H348,D348,E348)</f>
        <v/>
      </c>
      <c r="S348">
        <f>SUM(R348,I348,J348,K348,L348)</f>
        <v/>
      </c>
      <c r="T348">
        <f>IF(R348=0, -1, Q348/R348)</f>
        <v/>
      </c>
      <c r="U348">
        <f>IF(S348=0, -1, Q348/S348)</f>
        <v/>
      </c>
      <c r="V348">
        <f>IF(S348=0, -1, R348/S348)</f>
        <v/>
      </c>
    </row>
    <row r="349">
      <c r="A349" t="inlineStr">
        <is>
          <t>RC00096</t>
        </is>
      </c>
      <c r="B349" t="inlineStr">
        <is>
          <t>重庆医科大学</t>
        </is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1</v>
      </c>
      <c r="I349" t="n">
        <v>2</v>
      </c>
      <c r="J349" t="n">
        <v>2</v>
      </c>
      <c r="K349" t="n">
        <v>1</v>
      </c>
      <c r="L349" t="n">
        <v>2</v>
      </c>
      <c r="M349" t="n">
        <v>5036.194871807597</v>
      </c>
      <c r="N349" t="n">
        <v>32.0437260812779</v>
      </c>
      <c r="O349">
        <f>IF(N349=0, 0, M349/N349)</f>
        <v/>
      </c>
      <c r="P349">
        <f>RANK(O349, O$2:O$518, 0)</f>
        <v/>
      </c>
      <c r="Q349">
        <f>SUM(C349,F349)</f>
        <v/>
      </c>
      <c r="R349">
        <f>SUM(Q349,G349,H349,D349,E349)</f>
        <v/>
      </c>
      <c r="S349">
        <f>SUM(R349,I349,J349,K349,L349)</f>
        <v/>
      </c>
      <c r="T349">
        <f>IF(R349=0, -1, Q349/R349)</f>
        <v/>
      </c>
      <c r="U349">
        <f>IF(S349=0, -1, Q349/S349)</f>
        <v/>
      </c>
      <c r="V349">
        <f>IF(S349=0, -1, R349/S349)</f>
        <v/>
      </c>
    </row>
    <row r="350">
      <c r="A350" t="inlineStr">
        <is>
          <t>RC00403</t>
        </is>
      </c>
      <c r="B350" t="inlineStr">
        <is>
          <t>安徽农业大学</t>
        </is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1</v>
      </c>
      <c r="J350" t="n">
        <v>1</v>
      </c>
      <c r="K350" t="n">
        <v>3</v>
      </c>
      <c r="L350" t="n">
        <v>5</v>
      </c>
      <c r="M350" t="n">
        <v>4474.766703825543</v>
      </c>
      <c r="N350" t="n">
        <v>37.03232323457168</v>
      </c>
      <c r="O350">
        <f>IF(N350=0, 0, M350/N350)</f>
        <v/>
      </c>
      <c r="P350">
        <f>RANK(O350, O$2:O$518, 0)</f>
        <v/>
      </c>
      <c r="Q350">
        <f>SUM(C350,F350)</f>
        <v/>
      </c>
      <c r="R350">
        <f>SUM(Q350,G350,H350,D350,E350)</f>
        <v/>
      </c>
      <c r="S350">
        <f>SUM(R350,I350,J350,K350,L350)</f>
        <v/>
      </c>
      <c r="T350">
        <f>IF(R350=0, -1, Q350/R350)</f>
        <v/>
      </c>
      <c r="U350">
        <f>IF(S350=0, -1, Q350/S350)</f>
        <v/>
      </c>
      <c r="V350">
        <f>IF(S350=0, -1, R350/S350)</f>
        <v/>
      </c>
    </row>
    <row r="351">
      <c r="A351" t="inlineStr">
        <is>
          <t>RC00068</t>
        </is>
      </c>
      <c r="B351" t="inlineStr">
        <is>
          <t>天津医科大学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2</v>
      </c>
      <c r="J351" t="n">
        <v>3</v>
      </c>
      <c r="K351" t="n">
        <v>1</v>
      </c>
      <c r="L351" t="n">
        <v>2</v>
      </c>
      <c r="M351" t="n">
        <v>5022.629832682245</v>
      </c>
      <c r="N351" t="n">
        <v>33.51301736196876</v>
      </c>
      <c r="O351">
        <f>IF(N351=0, 0, M351/N351)</f>
        <v/>
      </c>
      <c r="P351">
        <f>RANK(O351, O$2:O$518, 0)</f>
        <v/>
      </c>
      <c r="Q351">
        <f>SUM(C351,F351)</f>
        <v/>
      </c>
      <c r="R351">
        <f>SUM(Q351,G351,H351,D351,E351)</f>
        <v/>
      </c>
      <c r="S351">
        <f>SUM(R351,I351,J351,K351,L351)</f>
        <v/>
      </c>
      <c r="T351">
        <f>IF(R351=0, -1, Q351/R351)</f>
        <v/>
      </c>
      <c r="U351">
        <f>IF(S351=0, -1, Q351/S351)</f>
        <v/>
      </c>
      <c r="V351">
        <f>IF(S351=0, -1, R351/S351)</f>
        <v/>
      </c>
    </row>
    <row r="352">
      <c r="A352" t="inlineStr">
        <is>
          <t>RC00473</t>
        </is>
      </c>
      <c r="B352" t="inlineStr">
        <is>
          <t>山东第一医科大学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2</v>
      </c>
      <c r="K352" t="n">
        <v>2</v>
      </c>
      <c r="L352" t="n">
        <v>3</v>
      </c>
      <c r="M352" t="n">
        <v>2807.906771911168</v>
      </c>
      <c r="N352" t="n">
        <v>28.33934244062799</v>
      </c>
      <c r="O352">
        <f>IF(N352=0, 0, M352/N352)</f>
        <v/>
      </c>
      <c r="P352">
        <f>RANK(O352, O$2:O$518, 0)</f>
        <v/>
      </c>
      <c r="Q352">
        <f>SUM(C352,F352)</f>
        <v/>
      </c>
      <c r="R352">
        <f>SUM(Q352,G352,H352,D352,E352)</f>
        <v/>
      </c>
      <c r="S352">
        <f>SUM(R352,I352,J352,K352,L352)</f>
        <v/>
      </c>
      <c r="T352">
        <f>IF(R352=0, -1, Q352/R352)</f>
        <v/>
      </c>
      <c r="U352">
        <f>IF(S352=0, -1, Q352/S352)</f>
        <v/>
      </c>
      <c r="V352">
        <f>IF(S352=0, -1, R352/S352)</f>
        <v/>
      </c>
    </row>
    <row r="353">
      <c r="A353" t="inlineStr">
        <is>
          <t>RC00471</t>
        </is>
      </c>
      <c r="B353" t="inlineStr">
        <is>
          <t>青岛农业大学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4</v>
      </c>
      <c r="K353" t="n">
        <v>1</v>
      </c>
      <c r="L353" t="n">
        <v>2</v>
      </c>
      <c r="M353" t="n">
        <v>2320.778884773991</v>
      </c>
      <c r="N353" t="n">
        <v>24.69140354053274</v>
      </c>
      <c r="O353">
        <f>IF(N353=0, 0, M353/N353)</f>
        <v/>
      </c>
      <c r="P353">
        <f>RANK(O353, O$2:O$518, 0)</f>
        <v/>
      </c>
      <c r="Q353">
        <f>SUM(C353,F353)</f>
        <v/>
      </c>
      <c r="R353">
        <f>SUM(Q353,G353,H353,D353,E353)</f>
        <v/>
      </c>
      <c r="S353">
        <f>SUM(R353,I353,J353,K353,L353)</f>
        <v/>
      </c>
      <c r="T353">
        <f>IF(R353=0, -1, Q353/R353)</f>
        <v/>
      </c>
      <c r="U353">
        <f>IF(S353=0, -1, Q353/S353)</f>
        <v/>
      </c>
      <c r="V353">
        <f>IF(S353=0, -1, R353/S353)</f>
        <v/>
      </c>
    </row>
    <row r="354">
      <c r="A354" t="inlineStr">
        <is>
          <t>RC00214</t>
        </is>
      </c>
      <c r="B354" t="inlineStr">
        <is>
          <t>山西农业大学</t>
        </is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1</v>
      </c>
      <c r="J354" t="n">
        <v>1</v>
      </c>
      <c r="K354" t="n">
        <v>2</v>
      </c>
      <c r="L354" t="n">
        <v>1</v>
      </c>
      <c r="M354" t="n">
        <v>2396.413015059492</v>
      </c>
      <c r="N354" t="n">
        <v>18.41129927526643</v>
      </c>
      <c r="O354">
        <f>IF(N354=0, 0, M354/N354)</f>
        <v/>
      </c>
      <c r="P354">
        <f>RANK(O354, O$2:O$518, 0)</f>
        <v/>
      </c>
      <c r="Q354">
        <f>SUM(C354,F354)</f>
        <v/>
      </c>
      <c r="R354">
        <f>SUM(Q354,G354,H354,D354,E354)</f>
        <v/>
      </c>
      <c r="S354">
        <f>SUM(R354,I354,J354,K354,L354)</f>
        <v/>
      </c>
      <c r="T354">
        <f>IF(R354=0, -1, Q354/R354)</f>
        <v/>
      </c>
      <c r="U354">
        <f>IF(S354=0, -1, Q354/S354)</f>
        <v/>
      </c>
      <c r="V354">
        <f>IF(S354=0, -1, R354/S354)</f>
        <v/>
      </c>
    </row>
    <row r="355">
      <c r="A355" t="inlineStr">
        <is>
          <t>RC00391</t>
        </is>
      </c>
      <c r="B355" t="inlineStr">
        <is>
          <t>浙江万里学院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205.6483508821009</v>
      </c>
      <c r="N355" t="n">
        <v>4.836281906951478</v>
      </c>
      <c r="O355">
        <f>IF(N355=0, 0, M355/N355)</f>
        <v/>
      </c>
      <c r="P355">
        <f>RANK(O355, O$2:O$518, 0)</f>
        <v/>
      </c>
      <c r="Q355">
        <f>SUM(C355,F355)</f>
        <v/>
      </c>
      <c r="R355">
        <f>SUM(Q355,G355,H355,D355,E355)</f>
        <v/>
      </c>
      <c r="S355">
        <f>SUM(R355,I355,J355,K355,L355)</f>
        <v/>
      </c>
      <c r="T355">
        <f>IF(R355=0, -1, Q355/R355)</f>
        <v/>
      </c>
      <c r="U355">
        <f>IF(S355=0, -1, Q355/S355)</f>
        <v/>
      </c>
      <c r="V355">
        <f>IF(S355=0, -1, R355/S355)</f>
        <v/>
      </c>
    </row>
    <row r="356">
      <c r="A356" t="inlineStr">
        <is>
          <t>RC00115</t>
        </is>
      </c>
      <c r="B356" t="inlineStr">
        <is>
          <t>大连医科大学</t>
        </is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1</v>
      </c>
      <c r="I356" t="n">
        <v>0</v>
      </c>
      <c r="J356" t="n">
        <v>1</v>
      </c>
      <c r="K356" t="n">
        <v>2</v>
      </c>
      <c r="L356" t="n">
        <v>2</v>
      </c>
      <c r="M356" t="n">
        <v>3043.291955973501</v>
      </c>
      <c r="N356" t="n">
        <v>23.45421222828204</v>
      </c>
      <c r="O356">
        <f>IF(N356=0, 0, M356/N356)</f>
        <v/>
      </c>
      <c r="P356">
        <f>RANK(O356, O$2:O$518, 0)</f>
        <v/>
      </c>
      <c r="Q356">
        <f>SUM(C356,F356)</f>
        <v/>
      </c>
      <c r="R356">
        <f>SUM(Q356,G356,H356,D356,E356)</f>
        <v/>
      </c>
      <c r="S356">
        <f>SUM(R356,I356,J356,K356,L356)</f>
        <v/>
      </c>
      <c r="T356">
        <f>IF(R356=0, -1, Q356/R356)</f>
        <v/>
      </c>
      <c r="U356">
        <f>IF(S356=0, -1, Q356/S356)</f>
        <v/>
      </c>
      <c r="V356">
        <f>IF(S356=0, -1, R356/S356)</f>
        <v/>
      </c>
    </row>
    <row r="357">
      <c r="A357" t="inlineStr">
        <is>
          <t>RC00427</t>
        </is>
      </c>
      <c r="B357" t="inlineStr">
        <is>
          <t>福建医科大学</t>
        </is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1</v>
      </c>
      <c r="J357" t="n">
        <v>1</v>
      </c>
      <c r="K357" t="n">
        <v>3</v>
      </c>
      <c r="L357" t="n">
        <v>2</v>
      </c>
      <c r="M357" t="n">
        <v>3476.514642914546</v>
      </c>
      <c r="N357" t="n">
        <v>28.13170307584975</v>
      </c>
      <c r="O357">
        <f>IF(N357=0, 0, M357/N357)</f>
        <v/>
      </c>
      <c r="P357">
        <f>RANK(O357, O$2:O$518, 0)</f>
        <v/>
      </c>
      <c r="Q357">
        <f>SUM(C357,F357)</f>
        <v/>
      </c>
      <c r="R357">
        <f>SUM(Q357,G357,H357,D357,E357)</f>
        <v/>
      </c>
      <c r="S357">
        <f>SUM(R357,I357,J357,K357,L357)</f>
        <v/>
      </c>
      <c r="T357">
        <f>IF(R357=0, -1, Q357/R357)</f>
        <v/>
      </c>
      <c r="U357">
        <f>IF(S357=0, -1, Q357/S357)</f>
        <v/>
      </c>
      <c r="V357">
        <f>IF(S357=0, -1, R357/S357)</f>
        <v/>
      </c>
    </row>
    <row r="358">
      <c r="A358" t="inlineStr">
        <is>
          <t>RC00707</t>
        </is>
      </c>
      <c r="B358" t="inlineStr">
        <is>
          <t>昆明医科大学</t>
        </is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2</v>
      </c>
      <c r="L358" t="n">
        <v>1</v>
      </c>
      <c r="M358" t="n">
        <v>896.3010325339301</v>
      </c>
      <c r="N358" t="n">
        <v>13.04150033334689</v>
      </c>
      <c r="O358">
        <f>IF(N358=0, 0, M358/N358)</f>
        <v/>
      </c>
      <c r="P358">
        <f>RANK(O358, O$2:O$518, 0)</f>
        <v/>
      </c>
      <c r="Q358">
        <f>SUM(C358,F358)</f>
        <v/>
      </c>
      <c r="R358">
        <f>SUM(Q358,G358,H358,D358,E358)</f>
        <v/>
      </c>
      <c r="S358">
        <f>SUM(R358,I358,J358,K358,L358)</f>
        <v/>
      </c>
      <c r="T358">
        <f>IF(R358=0, -1, Q358/R358)</f>
        <v/>
      </c>
      <c r="U358">
        <f>IF(S358=0, -1, Q358/S358)</f>
        <v/>
      </c>
      <c r="V358">
        <f>IF(S358=0, -1, R358/S358)</f>
        <v/>
      </c>
    </row>
    <row r="359">
      <c r="A359" t="inlineStr">
        <is>
          <t>RC00257</t>
        </is>
      </c>
      <c r="B359" t="inlineStr">
        <is>
          <t>沈阳农业大学</t>
        </is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1</v>
      </c>
      <c r="I359" t="n">
        <v>0</v>
      </c>
      <c r="J359" t="n">
        <v>2</v>
      </c>
      <c r="K359" t="n">
        <v>4</v>
      </c>
      <c r="L359" t="n">
        <v>3</v>
      </c>
      <c r="M359" t="n">
        <v>5213.140896542061</v>
      </c>
      <c r="N359" t="n">
        <v>35.07963339853099</v>
      </c>
      <c r="O359">
        <f>IF(N359=0, 0, M359/N359)</f>
        <v/>
      </c>
      <c r="P359">
        <f>RANK(O359, O$2:O$518, 0)</f>
        <v/>
      </c>
      <c r="Q359">
        <f>SUM(C359,F359)</f>
        <v/>
      </c>
      <c r="R359">
        <f>SUM(Q359,G359,H359,D359,E359)</f>
        <v/>
      </c>
      <c r="S359">
        <f>SUM(R359,I359,J359,K359,L359)</f>
        <v/>
      </c>
      <c r="T359">
        <f>IF(R359=0, -1, Q359/R359)</f>
        <v/>
      </c>
      <c r="U359">
        <f>IF(S359=0, -1, Q359/S359)</f>
        <v/>
      </c>
      <c r="V359">
        <f>IF(S359=0, -1, R359/S359)</f>
        <v/>
      </c>
    </row>
    <row r="360">
      <c r="A360" t="inlineStr">
        <is>
          <t>RC00234</t>
        </is>
      </c>
      <c r="B360" t="inlineStr">
        <is>
          <t>内蒙古农业大学</t>
        </is>
      </c>
      <c r="C360" t="n">
        <v>0</v>
      </c>
      <c r="D360" t="n">
        <v>0</v>
      </c>
      <c r="E360" t="n">
        <v>2</v>
      </c>
      <c r="F360" t="n">
        <v>0</v>
      </c>
      <c r="G360" t="n">
        <v>0</v>
      </c>
      <c r="H360" t="n">
        <v>1</v>
      </c>
      <c r="I360" t="n">
        <v>0</v>
      </c>
      <c r="J360" t="n">
        <v>1</v>
      </c>
      <c r="K360" t="n">
        <v>3</v>
      </c>
      <c r="L360" t="n">
        <v>4</v>
      </c>
      <c r="M360" t="n">
        <v>4556.221922621266</v>
      </c>
      <c r="N360" t="n">
        <v>37.52477337719091</v>
      </c>
      <c r="O360">
        <f>IF(N360=0, 0, M360/N360)</f>
        <v/>
      </c>
      <c r="P360">
        <f>RANK(O360, O$2:O$518, 0)</f>
        <v/>
      </c>
      <c r="Q360">
        <f>SUM(C360,F360)</f>
        <v/>
      </c>
      <c r="R360">
        <f>SUM(Q360,G360,H360,D360,E360)</f>
        <v/>
      </c>
      <c r="S360">
        <f>SUM(R360,I360,J360,K360,L360)</f>
        <v/>
      </c>
      <c r="T360">
        <f>IF(R360=0, -1, Q360/R360)</f>
        <v/>
      </c>
      <c r="U360">
        <f>IF(S360=0, -1, Q360/S360)</f>
        <v/>
      </c>
      <c r="V360">
        <f>IF(S360=0, -1, R360/S360)</f>
        <v/>
      </c>
    </row>
    <row r="361">
      <c r="A361" t="inlineStr">
        <is>
          <t>RC00445</t>
        </is>
      </c>
      <c r="B361" t="inlineStr">
        <is>
          <t>景德镇陶瓷大学</t>
        </is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1</v>
      </c>
      <c r="I361" t="n">
        <v>1</v>
      </c>
      <c r="J361" t="n">
        <v>1</v>
      </c>
      <c r="K361" t="n">
        <v>1</v>
      </c>
      <c r="L361" t="n">
        <v>1</v>
      </c>
      <c r="M361" t="n">
        <v>3130.095386413445</v>
      </c>
      <c r="N361" t="n">
        <v>20.82146464065661</v>
      </c>
      <c r="O361">
        <f>IF(N361=0, 0, M361/N361)</f>
        <v/>
      </c>
      <c r="P361">
        <f>RANK(O361, O$2:O$518, 0)</f>
        <v/>
      </c>
      <c r="Q361">
        <f>SUM(C361,F361)</f>
        <v/>
      </c>
      <c r="R361">
        <f>SUM(Q361,G361,H361,D361,E361)</f>
        <v/>
      </c>
      <c r="S361">
        <f>SUM(R361,I361,J361,K361,L361)</f>
        <v/>
      </c>
      <c r="T361">
        <f>IF(R361=0, -1, Q361/R361)</f>
        <v/>
      </c>
      <c r="U361">
        <f>IF(S361=0, -1, Q361/S361)</f>
        <v/>
      </c>
      <c r="V361">
        <f>IF(S361=0, -1, R361/S361)</f>
        <v/>
      </c>
    </row>
    <row r="362">
      <c r="A362" t="inlineStr">
        <is>
          <t>RC00770</t>
        </is>
      </c>
      <c r="B362" t="inlineStr">
        <is>
          <t>青海大学</t>
        </is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1</v>
      </c>
      <c r="K362" t="n">
        <v>2</v>
      </c>
      <c r="L362" t="n">
        <v>0</v>
      </c>
      <c r="M362" t="n">
        <v>1504.412353329784</v>
      </c>
      <c r="N362" t="n">
        <v>10.93670762243719</v>
      </c>
      <c r="O362">
        <f>IF(N362=0, 0, M362/N362)</f>
        <v/>
      </c>
      <c r="P362">
        <f>RANK(O362, O$2:O$518, 0)</f>
        <v/>
      </c>
      <c r="Q362">
        <f>SUM(C362,F362)</f>
        <v/>
      </c>
      <c r="R362">
        <f>SUM(Q362,G362,H362,D362,E362)</f>
        <v/>
      </c>
      <c r="S362">
        <f>SUM(R362,I362,J362,K362,L362)</f>
        <v/>
      </c>
      <c r="T362">
        <f>IF(R362=0, -1, Q362/R362)</f>
        <v/>
      </c>
      <c r="U362">
        <f>IF(S362=0, -1, Q362/S362)</f>
        <v/>
      </c>
      <c r="V362">
        <f>IF(S362=0, -1, R362/S362)</f>
        <v/>
      </c>
    </row>
    <row r="363">
      <c r="A363" t="inlineStr">
        <is>
          <t>RC00570</t>
        </is>
      </c>
      <c r="B363" t="inlineStr">
        <is>
          <t>中南林业科技大学</t>
        </is>
      </c>
      <c r="C363" t="n">
        <v>0</v>
      </c>
      <c r="D363" t="n">
        <v>0</v>
      </c>
      <c r="E363" t="n">
        <v>1</v>
      </c>
      <c r="F363" t="n">
        <v>0</v>
      </c>
      <c r="G363" t="n">
        <v>0</v>
      </c>
      <c r="H363" t="n">
        <v>0</v>
      </c>
      <c r="I363" t="n">
        <v>0</v>
      </c>
      <c r="J363" t="n">
        <v>4</v>
      </c>
      <c r="K363" t="n">
        <v>3</v>
      </c>
      <c r="L363" t="n">
        <v>0</v>
      </c>
      <c r="M363" t="n">
        <v>3608.271000488228</v>
      </c>
      <c r="N363" t="n">
        <v>27.34205066315116</v>
      </c>
      <c r="O363">
        <f>IF(N363=0, 0, M363/N363)</f>
        <v/>
      </c>
      <c r="P363">
        <f>RANK(O363, O$2:O$518, 0)</f>
        <v/>
      </c>
      <c r="Q363">
        <f>SUM(C363,F363)</f>
        <v/>
      </c>
      <c r="R363">
        <f>SUM(Q363,G363,H363,D363,E363)</f>
        <v/>
      </c>
      <c r="S363">
        <f>SUM(R363,I363,J363,K363,L363)</f>
        <v/>
      </c>
      <c r="T363">
        <f>IF(R363=0, -1, Q363/R363)</f>
        <v/>
      </c>
      <c r="U363">
        <f>IF(S363=0, -1, Q363/S363)</f>
        <v/>
      </c>
      <c r="V363">
        <f>IF(S363=0, -1, R363/S363)</f>
        <v/>
      </c>
    </row>
    <row r="364">
      <c r="A364" t="inlineStr">
        <is>
          <t>RC00378</t>
        </is>
      </c>
      <c r="B364" t="inlineStr">
        <is>
          <t>浙江农林大学</t>
        </is>
      </c>
      <c r="C364" t="n">
        <v>0</v>
      </c>
      <c r="D364" t="n">
        <v>1</v>
      </c>
      <c r="E364" t="n">
        <v>0</v>
      </c>
      <c r="F364" t="n">
        <v>0</v>
      </c>
      <c r="G364" t="n">
        <v>0</v>
      </c>
      <c r="H364" t="n">
        <v>0</v>
      </c>
      <c r="I364" t="n">
        <v>2</v>
      </c>
      <c r="J364" t="n">
        <v>1</v>
      </c>
      <c r="K364" t="n">
        <v>3</v>
      </c>
      <c r="L364" t="n">
        <v>1</v>
      </c>
      <c r="M364" t="n">
        <v>4991.810274835207</v>
      </c>
      <c r="N364" t="n">
        <v>28.10751850529073</v>
      </c>
      <c r="O364">
        <f>IF(N364=0, 0, M364/N364)</f>
        <v/>
      </c>
      <c r="P364">
        <f>RANK(O364, O$2:O$518, 0)</f>
        <v/>
      </c>
      <c r="Q364">
        <f>SUM(C364,F364)</f>
        <v/>
      </c>
      <c r="R364">
        <f>SUM(Q364,G364,H364,D364,E364)</f>
        <v/>
      </c>
      <c r="S364">
        <f>SUM(R364,I364,J364,K364,L364)</f>
        <v/>
      </c>
      <c r="T364">
        <f>IF(R364=0, -1, Q364/R364)</f>
        <v/>
      </c>
      <c r="U364">
        <f>IF(S364=0, -1, Q364/S364)</f>
        <v/>
      </c>
      <c r="V364">
        <f>IF(S364=0, -1, R364/S364)</f>
        <v/>
      </c>
    </row>
    <row r="365">
      <c r="A365" t="inlineStr">
        <is>
          <t>RC00284</t>
        </is>
      </c>
      <c r="B365" t="inlineStr">
        <is>
          <t>长春工业大学</t>
        </is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1</v>
      </c>
      <c r="K365" t="n">
        <v>1</v>
      </c>
      <c r="L365" t="n">
        <v>0</v>
      </c>
      <c r="M365" t="n">
        <v>708.6447089290576</v>
      </c>
      <c r="N365" t="n">
        <v>8.943244933132789</v>
      </c>
      <c r="O365">
        <f>IF(N365=0, 0, M365/N365)</f>
        <v/>
      </c>
      <c r="P365">
        <f>RANK(O365, O$2:O$518, 0)</f>
        <v/>
      </c>
      <c r="Q365">
        <f>SUM(C365,F365)</f>
        <v/>
      </c>
      <c r="R365">
        <f>SUM(Q365,G365,H365,D365,E365)</f>
        <v/>
      </c>
      <c r="S365">
        <f>SUM(R365,I365,J365,K365,L365)</f>
        <v/>
      </c>
      <c r="T365">
        <f>IF(R365=0, -1, Q365/R365)</f>
        <v/>
      </c>
      <c r="U365">
        <f>IF(S365=0, -1, Q365/S365)</f>
        <v/>
      </c>
      <c r="V365">
        <f>IF(S365=0, -1, R365/S365)</f>
        <v/>
      </c>
    </row>
    <row r="366">
      <c r="A366" t="inlineStr">
        <is>
          <t>RC00622</t>
        </is>
      </c>
      <c r="B366" t="inlineStr">
        <is>
          <t>桂林理工大学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1</v>
      </c>
      <c r="J366" t="n">
        <v>0</v>
      </c>
      <c r="K366" t="n">
        <v>4</v>
      </c>
      <c r="L366" t="n">
        <v>2</v>
      </c>
      <c r="M366" t="n">
        <v>2210.14092848177</v>
      </c>
      <c r="N366" t="n">
        <v>29.71584139506992</v>
      </c>
      <c r="O366">
        <f>IF(N366=0, 0, M366/N366)</f>
        <v/>
      </c>
      <c r="P366">
        <f>RANK(O366, O$2:O$518, 0)</f>
        <v/>
      </c>
      <c r="Q366">
        <f>SUM(C366,F366)</f>
        <v/>
      </c>
      <c r="R366">
        <f>SUM(Q366,G366,H366,D366,E366)</f>
        <v/>
      </c>
      <c r="S366">
        <f>SUM(R366,I366,J366,K366,L366)</f>
        <v/>
      </c>
      <c r="T366">
        <f>IF(R366=0, -1, Q366/R366)</f>
        <v/>
      </c>
      <c r="U366">
        <f>IF(S366=0, -1, Q366/S366)</f>
        <v/>
      </c>
      <c r="V366">
        <f>IF(S366=0, -1, R366/S366)</f>
        <v/>
      </c>
    </row>
    <row r="367">
      <c r="A367" t="inlineStr">
        <is>
          <t>RC00173</t>
        </is>
      </c>
      <c r="B367" t="inlineStr">
        <is>
          <t>天津商业大学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3</v>
      </c>
      <c r="L367" t="n">
        <v>0</v>
      </c>
      <c r="M367" t="n">
        <v>725.7614985657571</v>
      </c>
      <c r="N367" t="n">
        <v>12.2729833508128</v>
      </c>
      <c r="O367">
        <f>IF(N367=0, 0, M367/N367)</f>
        <v/>
      </c>
      <c r="P367">
        <f>RANK(O367, O$2:O$518, 0)</f>
        <v/>
      </c>
      <c r="Q367">
        <f>SUM(C367,F367)</f>
        <v/>
      </c>
      <c r="R367">
        <f>SUM(Q367,G367,H367,D367,E367)</f>
        <v/>
      </c>
      <c r="S367">
        <f>SUM(R367,I367,J367,K367,L367)</f>
        <v/>
      </c>
      <c r="T367">
        <f>IF(R367=0, -1, Q367/R367)</f>
        <v/>
      </c>
      <c r="U367">
        <f>IF(S367=0, -1, Q367/S367)</f>
        <v/>
      </c>
      <c r="V367">
        <f>IF(S367=0, -1, R367/S367)</f>
        <v/>
      </c>
    </row>
    <row r="368">
      <c r="A368" t="inlineStr">
        <is>
          <t>RC00074</t>
        </is>
      </c>
      <c r="B368" t="inlineStr">
        <is>
          <t>中国矿业大学（北京）</t>
        </is>
      </c>
      <c r="C368" t="n">
        <v>0</v>
      </c>
      <c r="D368" t="n">
        <v>1</v>
      </c>
      <c r="E368" t="n">
        <v>0</v>
      </c>
      <c r="F368" t="n">
        <v>0</v>
      </c>
      <c r="G368" t="n">
        <v>0</v>
      </c>
      <c r="H368" t="n">
        <v>1</v>
      </c>
      <c r="I368" t="n">
        <v>1</v>
      </c>
      <c r="J368" t="n">
        <v>2</v>
      </c>
      <c r="K368" t="n">
        <v>1</v>
      </c>
      <c r="L368" t="n">
        <v>2</v>
      </c>
      <c r="M368" t="n">
        <v>6185.631014234898</v>
      </c>
      <c r="N368" t="n">
        <v>30.32820146553229</v>
      </c>
      <c r="O368">
        <f>IF(N368=0, 0, M368/N368)</f>
        <v/>
      </c>
      <c r="P368">
        <f>RANK(O368, O$2:O$518, 0)</f>
        <v/>
      </c>
      <c r="Q368">
        <f>SUM(C368,F368)</f>
        <v/>
      </c>
      <c r="R368">
        <f>SUM(Q368,G368,H368,D368,E368)</f>
        <v/>
      </c>
      <c r="S368">
        <f>SUM(R368,I368,J368,K368,L368)</f>
        <v/>
      </c>
      <c r="T368">
        <f>IF(R368=0, -1, Q368/R368)</f>
        <v/>
      </c>
      <c r="U368">
        <f>IF(S368=0, -1, Q368/S368)</f>
        <v/>
      </c>
      <c r="V368">
        <f>IF(S368=0, -1, R368/S368)</f>
        <v/>
      </c>
    </row>
    <row r="369">
      <c r="A369" t="inlineStr">
        <is>
          <t>RC00466</t>
        </is>
      </c>
      <c r="B369" t="inlineStr">
        <is>
          <t>青岛理工大学</t>
        </is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1</v>
      </c>
      <c r="I369" t="n">
        <v>0</v>
      </c>
      <c r="J369" t="n">
        <v>3</v>
      </c>
      <c r="K369" t="n">
        <v>1</v>
      </c>
      <c r="L369" t="n">
        <v>2</v>
      </c>
      <c r="M369" t="n">
        <v>2582.895685479662</v>
      </c>
      <c r="N369" t="n">
        <v>31.89002332747904</v>
      </c>
      <c r="O369">
        <f>IF(N369=0, 0, M369/N369)</f>
        <v/>
      </c>
      <c r="P369">
        <f>RANK(O369, O$2:O$518, 0)</f>
        <v/>
      </c>
      <c r="Q369">
        <f>SUM(C369,F369)</f>
        <v/>
      </c>
      <c r="R369">
        <f>SUM(Q369,G369,H369,D369,E369)</f>
        <v/>
      </c>
      <c r="S369">
        <f>SUM(R369,I369,J369,K369,L369)</f>
        <v/>
      </c>
      <c r="T369">
        <f>IF(R369=0, -1, Q369/R369)</f>
        <v/>
      </c>
      <c r="U369">
        <f>IF(S369=0, -1, Q369/S369)</f>
        <v/>
      </c>
      <c r="V369">
        <f>IF(S369=0, -1, R369/S369)</f>
        <v/>
      </c>
    </row>
    <row r="370">
      <c r="A370" t="inlineStr">
        <is>
          <t>RC00212</t>
        </is>
      </c>
      <c r="B370" t="inlineStr">
        <is>
          <t>太原科技大学</t>
        </is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346.4424526104148</v>
      </c>
      <c r="N370" t="n">
        <v>4.753590191106364</v>
      </c>
      <c r="O370">
        <f>IF(N370=0, 0, M370/N370)</f>
        <v/>
      </c>
      <c r="P370">
        <f>RANK(O370, O$2:O$518, 0)</f>
        <v/>
      </c>
      <c r="Q370">
        <f>SUM(C370,F370)</f>
        <v/>
      </c>
      <c r="R370">
        <f>SUM(Q370,G370,H370,D370,E370)</f>
        <v/>
      </c>
      <c r="S370">
        <f>SUM(R370,I370,J370,K370,L370)</f>
        <v/>
      </c>
      <c r="T370">
        <f>IF(R370=0, -1, Q370/R370)</f>
        <v/>
      </c>
      <c r="U370">
        <f>IF(S370=0, -1, Q370/S370)</f>
        <v/>
      </c>
      <c r="V370">
        <f>IF(S370=0, -1, R370/S370)</f>
        <v/>
      </c>
    </row>
    <row r="371">
      <c r="A371" t="inlineStr">
        <is>
          <t>RC00401</t>
        </is>
      </c>
      <c r="B371" t="inlineStr">
        <is>
          <t>安徽理工大学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1</v>
      </c>
      <c r="J371" t="n">
        <v>1</v>
      </c>
      <c r="K371" t="n">
        <v>0</v>
      </c>
      <c r="L371" t="n">
        <v>3</v>
      </c>
      <c r="M371" t="n">
        <v>2709.073067650133</v>
      </c>
      <c r="N371" t="n">
        <v>20.17632180609555</v>
      </c>
      <c r="O371">
        <f>IF(N371=0, 0, M371/N371)</f>
        <v/>
      </c>
      <c r="P371">
        <f>RANK(O371, O$2:O$518, 0)</f>
        <v/>
      </c>
      <c r="Q371">
        <f>SUM(C371,F371)</f>
        <v/>
      </c>
      <c r="R371">
        <f>SUM(Q371,G371,H371,D371,E371)</f>
        <v/>
      </c>
      <c r="S371">
        <f>SUM(R371,I371,J371,K371,L371)</f>
        <v/>
      </c>
      <c r="T371">
        <f>IF(R371=0, -1, Q371/R371)</f>
        <v/>
      </c>
      <c r="U371">
        <f>IF(S371=0, -1, Q371/S371)</f>
        <v/>
      </c>
      <c r="V371">
        <f>IF(S371=0, -1, R371/S371)</f>
        <v/>
      </c>
    </row>
    <row r="372">
      <c r="A372" t="inlineStr">
        <is>
          <t>RC00757</t>
        </is>
      </c>
      <c r="B372" t="inlineStr">
        <is>
          <t>兰州交通大学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3</v>
      </c>
      <c r="K372" t="n">
        <v>1</v>
      </c>
      <c r="L372" t="n">
        <v>2</v>
      </c>
      <c r="M372" t="n">
        <v>1400.521744805876</v>
      </c>
      <c r="N372" t="n">
        <v>25.215137019363</v>
      </c>
      <c r="O372">
        <f>IF(N372=0, 0, M372/N372)</f>
        <v/>
      </c>
      <c r="P372">
        <f>RANK(O372, O$2:O$518, 0)</f>
        <v/>
      </c>
      <c r="Q372">
        <f>SUM(C372,F372)</f>
        <v/>
      </c>
      <c r="R372">
        <f>SUM(Q372,G372,H372,D372,E372)</f>
        <v/>
      </c>
      <c r="S372">
        <f>SUM(R372,I372,J372,K372,L372)</f>
        <v/>
      </c>
      <c r="T372">
        <f>IF(R372=0, -1, Q372/R372)</f>
        <v/>
      </c>
      <c r="U372">
        <f>IF(S372=0, -1, Q372/S372)</f>
        <v/>
      </c>
      <c r="V372">
        <f>IF(S372=0, -1, R372/S372)</f>
        <v/>
      </c>
    </row>
    <row r="373">
      <c r="A373" t="inlineStr">
        <is>
          <t>RC00213</t>
        </is>
      </c>
      <c r="B373" t="inlineStr">
        <is>
          <t>中北大学</t>
        </is>
      </c>
      <c r="C373" t="n">
        <v>0</v>
      </c>
      <c r="D373" t="n">
        <v>0</v>
      </c>
      <c r="E373" t="n">
        <v>1</v>
      </c>
      <c r="F373" t="n">
        <v>0</v>
      </c>
      <c r="G373" t="n">
        <v>0</v>
      </c>
      <c r="H373" t="n">
        <v>0</v>
      </c>
      <c r="I373" t="n">
        <v>1</v>
      </c>
      <c r="J373" t="n">
        <v>2</v>
      </c>
      <c r="K373" t="n">
        <v>4</v>
      </c>
      <c r="L373" t="n">
        <v>2</v>
      </c>
      <c r="M373" t="n">
        <v>3835.743643374055</v>
      </c>
      <c r="N373" t="n">
        <v>42.61787142961881</v>
      </c>
      <c r="O373">
        <f>IF(N373=0, 0, M373/N373)</f>
        <v/>
      </c>
      <c r="P373">
        <f>RANK(O373, O$2:O$518, 0)</f>
        <v/>
      </c>
      <c r="Q373">
        <f>SUM(C373,F373)</f>
        <v/>
      </c>
      <c r="R373">
        <f>SUM(Q373,G373,H373,D373,E373)</f>
        <v/>
      </c>
      <c r="S373">
        <f>SUM(R373,I373,J373,K373,L373)</f>
        <v/>
      </c>
      <c r="T373">
        <f>IF(R373=0, -1, Q373/R373)</f>
        <v/>
      </c>
      <c r="U373">
        <f>IF(S373=0, -1, Q373/S373)</f>
        <v/>
      </c>
      <c r="V373">
        <f>IF(S373=0, -1, R373/S373)</f>
        <v/>
      </c>
    </row>
    <row r="374">
      <c r="A374" t="inlineStr">
        <is>
          <t>RC00729</t>
        </is>
      </c>
      <c r="B374" t="inlineStr">
        <is>
          <t>西安工业大学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1</v>
      </c>
      <c r="K374" t="n">
        <v>2</v>
      </c>
      <c r="L374" t="n">
        <v>1</v>
      </c>
      <c r="M374" t="n">
        <v>1413.247176337992</v>
      </c>
      <c r="N374" t="n">
        <v>18.09291806874819</v>
      </c>
      <c r="O374">
        <f>IF(N374=0, 0, M374/N374)</f>
        <v/>
      </c>
      <c r="P374">
        <f>RANK(O374, O$2:O$518, 0)</f>
        <v/>
      </c>
      <c r="Q374">
        <f>SUM(C374,F374)</f>
        <v/>
      </c>
      <c r="R374">
        <f>SUM(Q374,G374,H374,D374,E374)</f>
        <v/>
      </c>
      <c r="S374">
        <f>SUM(R374,I374,J374,K374,L374)</f>
        <v/>
      </c>
      <c r="T374">
        <f>IF(R374=0, -1, Q374/R374)</f>
        <v/>
      </c>
      <c r="U374">
        <f>IF(S374=0, -1, Q374/S374)</f>
        <v/>
      </c>
      <c r="V374">
        <f>IF(S374=0, -1, R374/S374)</f>
        <v/>
      </c>
    </row>
    <row r="375">
      <c r="A375" t="inlineStr">
        <is>
          <t>RC00245</t>
        </is>
      </c>
      <c r="B375" t="inlineStr">
        <is>
          <t>沈阳工业大学</t>
        </is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1</v>
      </c>
      <c r="K375" t="n">
        <v>2</v>
      </c>
      <c r="L375" t="n">
        <v>1</v>
      </c>
      <c r="M375" t="n">
        <v>1094.414728874257</v>
      </c>
      <c r="N375" t="n">
        <v>17.91040137096425</v>
      </c>
      <c r="O375">
        <f>IF(N375=0, 0, M375/N375)</f>
        <v/>
      </c>
      <c r="P375">
        <f>RANK(O375, O$2:O$518, 0)</f>
        <v/>
      </c>
      <c r="Q375">
        <f>SUM(C375,F375)</f>
        <v/>
      </c>
      <c r="R375">
        <f>SUM(Q375,G375,H375,D375,E375)</f>
        <v/>
      </c>
      <c r="S375">
        <f>SUM(R375,I375,J375,K375,L375)</f>
        <v/>
      </c>
      <c r="T375">
        <f>IF(R375=0, -1, Q375/R375)</f>
        <v/>
      </c>
      <c r="U375">
        <f>IF(S375=0, -1, Q375/S375)</f>
        <v/>
      </c>
      <c r="V375">
        <f>IF(S375=0, -1, R375/S375)</f>
        <v/>
      </c>
    </row>
    <row r="376">
      <c r="A376" t="inlineStr">
        <is>
          <t>RC00731</t>
        </is>
      </c>
      <c r="B376" t="inlineStr">
        <is>
          <t>西安科技大学</t>
        </is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1</v>
      </c>
      <c r="I376" t="n">
        <v>0</v>
      </c>
      <c r="J376" t="n">
        <v>1</v>
      </c>
      <c r="K376" t="n">
        <v>3</v>
      </c>
      <c r="L376" t="n">
        <v>2</v>
      </c>
      <c r="M376" t="n">
        <v>3183.611529540083</v>
      </c>
      <c r="N376" t="n">
        <v>26.92273393466892</v>
      </c>
      <c r="O376">
        <f>IF(N376=0, 0, M376/N376)</f>
        <v/>
      </c>
      <c r="P376">
        <f>RANK(O376, O$2:O$518, 0)</f>
        <v/>
      </c>
      <c r="Q376">
        <f>SUM(C376,F376)</f>
        <v/>
      </c>
      <c r="R376">
        <f>SUM(Q376,G376,H376,D376,E376)</f>
        <v/>
      </c>
      <c r="S376">
        <f>SUM(R376,I376,J376,K376,L376)</f>
        <v/>
      </c>
      <c r="T376">
        <f>IF(R376=0, -1, Q376/R376)</f>
        <v/>
      </c>
      <c r="U376">
        <f>IF(S376=0, -1, Q376/S376)</f>
        <v/>
      </c>
      <c r="V376">
        <f>IF(S376=0, -1, R376/S376)</f>
        <v/>
      </c>
    </row>
    <row r="377">
      <c r="A377" t="inlineStr">
        <is>
          <t>RC00441</t>
        </is>
      </c>
      <c r="B377" t="inlineStr">
        <is>
          <t>华东交通大学</t>
        </is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1</v>
      </c>
      <c r="J377" t="n">
        <v>1</v>
      </c>
      <c r="K377" t="n">
        <v>3</v>
      </c>
      <c r="L377" t="n">
        <v>0</v>
      </c>
      <c r="M377" t="n">
        <v>2103.873139063999</v>
      </c>
      <c r="N377" t="n">
        <v>22.35208784204447</v>
      </c>
      <c r="O377">
        <f>IF(N377=0, 0, M377/N377)</f>
        <v/>
      </c>
      <c r="P377">
        <f>RANK(O377, O$2:O$518, 0)</f>
        <v/>
      </c>
      <c r="Q377">
        <f>SUM(C377,F377)</f>
        <v/>
      </c>
      <c r="R377">
        <f>SUM(Q377,G377,H377,D377,E377)</f>
        <v/>
      </c>
      <c r="S377">
        <f>SUM(R377,I377,J377,K377,L377)</f>
        <v/>
      </c>
      <c r="T377">
        <f>IF(R377=0, -1, Q377/R377)</f>
        <v/>
      </c>
      <c r="U377">
        <f>IF(S377=0, -1, Q377/S377)</f>
        <v/>
      </c>
      <c r="V377">
        <f>IF(S377=0, -1, R377/S377)</f>
        <v/>
      </c>
    </row>
    <row r="378">
      <c r="A378" t="inlineStr">
        <is>
          <t>RC00171</t>
        </is>
      </c>
      <c r="B378" t="inlineStr">
        <is>
          <t>天津职业技术师范大学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196.5394683078314</v>
      </c>
      <c r="N378" t="n">
        <v>4.753590191106364</v>
      </c>
      <c r="O378">
        <f>IF(N378=0, 0, M378/N378)</f>
        <v/>
      </c>
      <c r="P378">
        <f>RANK(O378, O$2:O$518, 0)</f>
        <v/>
      </c>
      <c r="Q378">
        <f>SUM(C378,F378)</f>
        <v/>
      </c>
      <c r="R378">
        <f>SUM(Q378,G378,H378,D378,E378)</f>
        <v/>
      </c>
      <c r="S378">
        <f>SUM(R378,I378,J378,K378,L378)</f>
        <v/>
      </c>
      <c r="T378">
        <f>IF(R378=0, -1, Q378/R378)</f>
        <v/>
      </c>
      <c r="U378">
        <f>IF(S378=0, -1, Q378/S378)</f>
        <v/>
      </c>
      <c r="V378">
        <f>IF(S378=0, -1, R378/S378)</f>
        <v/>
      </c>
    </row>
    <row r="379">
      <c r="A379" t="inlineStr">
        <is>
          <t>RC00255</t>
        </is>
      </c>
      <c r="B379" t="inlineStr">
        <is>
          <t>沈阳建筑大学</t>
        </is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1</v>
      </c>
      <c r="L379" t="n">
        <v>3</v>
      </c>
      <c r="M379" t="n">
        <v>586.909666145209</v>
      </c>
      <c r="N379" t="n">
        <v>16.83742740375387</v>
      </c>
      <c r="O379">
        <f>IF(N379=0, 0, M379/N379)</f>
        <v/>
      </c>
      <c r="P379">
        <f>RANK(O379, O$2:O$518, 0)</f>
        <v/>
      </c>
      <c r="Q379">
        <f>SUM(C379,F379)</f>
        <v/>
      </c>
      <c r="R379">
        <f>SUM(Q379,G379,H379,D379,E379)</f>
        <v/>
      </c>
      <c r="S379">
        <f>SUM(R379,I379,J379,K379,L379)</f>
        <v/>
      </c>
      <c r="T379">
        <f>IF(R379=0, -1, Q379/R379)</f>
        <v/>
      </c>
      <c r="U379">
        <f>IF(S379=0, -1, Q379/S379)</f>
        <v/>
      </c>
      <c r="V379">
        <f>IF(S379=0, -1, R379/S379)</f>
        <v/>
      </c>
    </row>
    <row r="380">
      <c r="A380" t="inlineStr">
        <is>
          <t>RC00730</t>
        </is>
      </c>
      <c r="B380" t="inlineStr">
        <is>
          <t>西安建筑科技大学</t>
        </is>
      </c>
      <c r="C380" t="n">
        <v>0</v>
      </c>
      <c r="D380" t="n">
        <v>0</v>
      </c>
      <c r="E380" t="n">
        <v>0</v>
      </c>
      <c r="F380" t="n">
        <v>0</v>
      </c>
      <c r="G380" t="n">
        <v>1</v>
      </c>
      <c r="H380" t="n">
        <v>2</v>
      </c>
      <c r="I380" t="n">
        <v>2</v>
      </c>
      <c r="J380" t="n">
        <v>1</v>
      </c>
      <c r="K380" t="n">
        <v>3</v>
      </c>
      <c r="L380" t="n">
        <v>4</v>
      </c>
      <c r="M380" t="n">
        <v>9184.334933872891</v>
      </c>
      <c r="N380" t="n">
        <v>55.44250545822258</v>
      </c>
      <c r="O380">
        <f>IF(N380=0, 0, M380/N380)</f>
        <v/>
      </c>
      <c r="P380">
        <f>RANK(O380, O$2:O$518, 0)</f>
        <v/>
      </c>
      <c r="Q380">
        <f>SUM(C380,F380)</f>
        <v/>
      </c>
      <c r="R380">
        <f>SUM(Q380,G380,H380,D380,E380)</f>
        <v/>
      </c>
      <c r="S380">
        <f>SUM(R380,I380,J380,K380,L380)</f>
        <v/>
      </c>
      <c r="T380">
        <f>IF(R380=0, -1, Q380/R380)</f>
        <v/>
      </c>
      <c r="U380">
        <f>IF(S380=0, -1, Q380/S380)</f>
        <v/>
      </c>
      <c r="V380">
        <f>IF(S380=0, -1, R380/S380)</f>
        <v/>
      </c>
    </row>
    <row r="381">
      <c r="A381" t="inlineStr">
        <is>
          <t>RC01262</t>
        </is>
      </c>
      <c r="B381" t="inlineStr">
        <is>
          <t>中国人民解放军空军工程大学</t>
        </is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2</v>
      </c>
      <c r="K381" t="n">
        <v>1</v>
      </c>
      <c r="L381" t="n">
        <v>1</v>
      </c>
      <c r="M381" t="n">
        <v>1360.911054105105</v>
      </c>
      <c r="N381" t="n">
        <v>16.9696131674897</v>
      </c>
      <c r="O381">
        <f>IF(N381=0, 0, M381/N381)</f>
        <v/>
      </c>
      <c r="P381">
        <f>RANK(O381, O$2:O$518, 0)</f>
        <v/>
      </c>
      <c r="Q381">
        <f>SUM(C381,F381)</f>
        <v/>
      </c>
      <c r="R381">
        <f>SUM(Q381,G381,H381,D381,E381)</f>
        <v/>
      </c>
      <c r="S381">
        <f>SUM(R381,I381,J381,K381,L381)</f>
        <v/>
      </c>
      <c r="T381">
        <f>IF(R381=0, -1, Q381/R381)</f>
        <v/>
      </c>
      <c r="U381">
        <f>IF(S381=0, -1, Q381/S381)</f>
        <v/>
      </c>
      <c r="V381">
        <f>IF(S381=0, -1, R381/S381)</f>
        <v/>
      </c>
    </row>
    <row r="382">
      <c r="A382" t="inlineStr">
        <is>
          <t>RC00233</t>
        </is>
      </c>
      <c r="B382" t="inlineStr">
        <is>
          <t>内蒙古工业大学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1</v>
      </c>
      <c r="K382" t="n">
        <v>0</v>
      </c>
      <c r="L382" t="n">
        <v>4</v>
      </c>
      <c r="M382" t="n">
        <v>1010.781041044545</v>
      </c>
      <c r="N382" t="n">
        <v>23.10619014749675</v>
      </c>
      <c r="O382">
        <f>IF(N382=0, 0, M382/N382)</f>
        <v/>
      </c>
      <c r="P382">
        <f>RANK(O382, O$2:O$518, 0)</f>
        <v/>
      </c>
      <c r="Q382">
        <f>SUM(C382,F382)</f>
        <v/>
      </c>
      <c r="R382">
        <f>SUM(Q382,G382,H382,D382,E382)</f>
        <v/>
      </c>
      <c r="S382">
        <f>SUM(R382,I382,J382,K382,L382)</f>
        <v/>
      </c>
      <c r="T382">
        <f>IF(R382=0, -1, Q382/R382)</f>
        <v/>
      </c>
      <c r="U382">
        <f>IF(S382=0, -1, Q382/S382)</f>
        <v/>
      </c>
      <c r="V382">
        <f>IF(S382=0, -1, R382/S382)</f>
        <v/>
      </c>
    </row>
    <row r="383">
      <c r="A383" t="inlineStr">
        <is>
          <t>RC00130</t>
        </is>
      </c>
      <c r="B383" t="inlineStr">
        <is>
          <t>北京建筑大学</t>
        </is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1</v>
      </c>
      <c r="I383" t="n">
        <v>1</v>
      </c>
      <c r="J383" t="n">
        <v>1</v>
      </c>
      <c r="K383" t="n">
        <v>2</v>
      </c>
      <c r="L383" t="n">
        <v>1</v>
      </c>
      <c r="M383" t="n">
        <v>2450.771163654483</v>
      </c>
      <c r="N383" t="n">
        <v>24.84911413288171</v>
      </c>
      <c r="O383">
        <f>IF(N383=0, 0, M383/N383)</f>
        <v/>
      </c>
      <c r="P383">
        <f>RANK(O383, O$2:O$518, 0)</f>
        <v/>
      </c>
      <c r="Q383">
        <f>SUM(C383,F383)</f>
        <v/>
      </c>
      <c r="R383">
        <f>SUM(Q383,G383,H383,D383,E383)</f>
        <v/>
      </c>
      <c r="S383">
        <f>SUM(R383,I383,J383,K383,L383)</f>
        <v/>
      </c>
      <c r="T383">
        <f>IF(R383=0, -1, Q383/R383)</f>
        <v/>
      </c>
      <c r="U383">
        <f>IF(S383=0, -1, Q383/S383)</f>
        <v/>
      </c>
      <c r="V383">
        <f>IF(S383=0, -1, R383/S383)</f>
        <v/>
      </c>
    </row>
    <row r="384">
      <c r="A384" t="inlineStr">
        <is>
          <t>RC00164</t>
        </is>
      </c>
      <c r="B384" t="inlineStr">
        <is>
          <t>天津科技大学</t>
        </is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1</v>
      </c>
      <c r="I384" t="n">
        <v>0</v>
      </c>
      <c r="J384" t="n">
        <v>1</v>
      </c>
      <c r="K384" t="n">
        <v>2</v>
      </c>
      <c r="L384" t="n">
        <v>1</v>
      </c>
      <c r="M384" t="n">
        <v>2784.948637760439</v>
      </c>
      <c r="N384" t="n">
        <v>18.4925622393452</v>
      </c>
      <c r="O384">
        <f>IF(N384=0, 0, M384/N384)</f>
        <v/>
      </c>
      <c r="P384">
        <f>RANK(O384, O$2:O$518, 0)</f>
        <v/>
      </c>
      <c r="Q384">
        <f>SUM(C384,F384)</f>
        <v/>
      </c>
      <c r="R384">
        <f>SUM(Q384,G384,H384,D384,E384)</f>
        <v/>
      </c>
      <c r="S384">
        <f>SUM(R384,I384,J384,K384,L384)</f>
        <v/>
      </c>
      <c r="T384">
        <f>IF(R384=0, -1, Q384/R384)</f>
        <v/>
      </c>
      <c r="U384">
        <f>IF(S384=0, -1, Q384/S384)</f>
        <v/>
      </c>
      <c r="V384">
        <f>IF(S384=0, -1, R384/S384)</f>
        <v/>
      </c>
    </row>
    <row r="385">
      <c r="A385" t="inlineStr">
        <is>
          <t>RC00183</t>
        </is>
      </c>
      <c r="B385" t="inlineStr">
        <is>
          <t>华北理工大学</t>
        </is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418.8727781338397</v>
      </c>
      <c r="N385" t="n">
        <v>2.564949357461537</v>
      </c>
      <c r="O385">
        <f>IF(N385=0, 0, M385/N385)</f>
        <v/>
      </c>
      <c r="P385">
        <f>RANK(O385, O$2:O$518, 0)</f>
        <v/>
      </c>
      <c r="Q385">
        <f>SUM(C385,F385)</f>
        <v/>
      </c>
      <c r="R385">
        <f>SUM(Q385,G385,H385,D385,E385)</f>
        <v/>
      </c>
      <c r="S385">
        <f>SUM(R385,I385,J385,K385,L385)</f>
        <v/>
      </c>
      <c r="T385">
        <f>IF(R385=0, -1, Q385/R385)</f>
        <v/>
      </c>
      <c r="U385">
        <f>IF(S385=0, -1, Q385/S385)</f>
        <v/>
      </c>
      <c r="V385">
        <f>IF(S385=0, -1, R385/S385)</f>
        <v/>
      </c>
    </row>
    <row r="386">
      <c r="A386" t="inlineStr">
        <is>
          <t>RC00283</t>
        </is>
      </c>
      <c r="B386" t="inlineStr">
        <is>
          <t>东北电力大学</t>
        </is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1</v>
      </c>
      <c r="J386" t="n">
        <v>1</v>
      </c>
      <c r="K386" t="n">
        <v>0</v>
      </c>
      <c r="L386" t="n">
        <v>0</v>
      </c>
      <c r="M386" t="n">
        <v>1260.095521733057</v>
      </c>
      <c r="N386" t="n">
        <v>8.099857910737587</v>
      </c>
      <c r="O386">
        <f>IF(N386=0, 0, M386/N386)</f>
        <v/>
      </c>
      <c r="P386">
        <f>RANK(O386, O$2:O$518, 0)</f>
        <v/>
      </c>
      <c r="Q386">
        <f>SUM(C386,F386)</f>
        <v/>
      </c>
      <c r="R386">
        <f>SUM(Q386,G386,H386,D386,E386)</f>
        <v/>
      </c>
      <c r="S386">
        <f>SUM(R386,I386,J386,K386,L386)</f>
        <v/>
      </c>
      <c r="T386">
        <f>IF(R386=0, -1, Q386/R386)</f>
        <v/>
      </c>
      <c r="U386">
        <f>IF(S386=0, -1, Q386/S386)</f>
        <v/>
      </c>
      <c r="V386">
        <f>IF(S386=0, -1, R386/S386)</f>
        <v/>
      </c>
    </row>
    <row r="387">
      <c r="A387" t="inlineStr">
        <is>
          <t>RC00329</t>
        </is>
      </c>
      <c r="B387" t="inlineStr">
        <is>
          <t>上海电力大学</t>
        </is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1</v>
      </c>
      <c r="K387" t="n">
        <v>0</v>
      </c>
      <c r="L387" t="n">
        <v>2</v>
      </c>
      <c r="M387" t="n">
        <v>783.37268107736</v>
      </c>
      <c r="N387" t="n">
        <v>12.71497842757885</v>
      </c>
      <c r="O387">
        <f>IF(N387=0, 0, M387/N387)</f>
        <v/>
      </c>
      <c r="P387">
        <f>RANK(O387, O$2:O$518, 0)</f>
        <v/>
      </c>
      <c r="Q387">
        <f>SUM(C387,F387)</f>
        <v/>
      </c>
      <c r="R387">
        <f>SUM(Q387,G387,H387,D387,E387)</f>
        <v/>
      </c>
      <c r="S387">
        <f>SUM(R387,I387,J387,K387,L387)</f>
        <v/>
      </c>
      <c r="T387">
        <f>IF(R387=0, -1, Q387/R387)</f>
        <v/>
      </c>
      <c r="U387">
        <f>IF(S387=0, -1, Q387/S387)</f>
        <v/>
      </c>
      <c r="V387">
        <f>IF(S387=0, -1, R387/S387)</f>
        <v/>
      </c>
    </row>
    <row r="388">
      <c r="A388" t="inlineStr">
        <is>
          <t>RC00467</t>
        </is>
      </c>
      <c r="B388" t="inlineStr">
        <is>
          <t>山东建筑大学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2</v>
      </c>
      <c r="J388" t="n">
        <v>2</v>
      </c>
      <c r="K388" t="n">
        <v>0</v>
      </c>
      <c r="L388" t="n">
        <v>3</v>
      </c>
      <c r="M388" t="n">
        <v>2326.813560460811</v>
      </c>
      <c r="N388" t="n">
        <v>28.55041610699421</v>
      </c>
      <c r="O388">
        <f>IF(N388=0, 0, M388/N388)</f>
        <v/>
      </c>
      <c r="P388">
        <f>RANK(O388, O$2:O$518, 0)</f>
        <v/>
      </c>
      <c r="Q388">
        <f>SUM(C388,F388)</f>
        <v/>
      </c>
      <c r="R388">
        <f>SUM(Q388,G388,H388,D388,E388)</f>
        <v/>
      </c>
      <c r="S388">
        <f>SUM(R388,I388,J388,K388,L388)</f>
        <v/>
      </c>
      <c r="T388">
        <f>IF(R388=0, -1, Q388/R388)</f>
        <v/>
      </c>
      <c r="U388">
        <f>IF(S388=0, -1, Q388/S388)</f>
        <v/>
      </c>
      <c r="V388">
        <f>IF(S388=0, -1, R388/S388)</f>
        <v/>
      </c>
    </row>
    <row r="389">
      <c r="A389" t="inlineStr">
        <is>
          <t>RC01260</t>
        </is>
      </c>
      <c r="B389" t="inlineStr">
        <is>
          <t>中国人民解放军海军工程大学</t>
        </is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1</v>
      </c>
      <c r="J389" t="n">
        <v>0</v>
      </c>
      <c r="K389" t="n">
        <v>2</v>
      </c>
      <c r="L389" t="n">
        <v>2</v>
      </c>
      <c r="M389" t="n">
        <v>1794.213946377717</v>
      </c>
      <c r="N389" t="n">
        <v>17.5144987462265</v>
      </c>
      <c r="O389">
        <f>IF(N389=0, 0, M389/N389)</f>
        <v/>
      </c>
      <c r="P389">
        <f>RANK(O389, O$2:O$518, 0)</f>
        <v/>
      </c>
      <c r="Q389">
        <f>SUM(C389,F389)</f>
        <v/>
      </c>
      <c r="R389">
        <f>SUM(Q389,G389,H389,D389,E389)</f>
        <v/>
      </c>
      <c r="S389">
        <f>SUM(R389,I389,J389,K389,L389)</f>
        <v/>
      </c>
      <c r="T389">
        <f>IF(R389=0, -1, Q389/R389)</f>
        <v/>
      </c>
      <c r="U389">
        <f>IF(S389=0, -1, Q389/S389)</f>
        <v/>
      </c>
      <c r="V389">
        <f>IF(S389=0, -1, R389/S389)</f>
        <v/>
      </c>
    </row>
    <row r="390">
      <c r="A390" t="inlineStr">
        <is>
          <t>RC00505</t>
        </is>
      </c>
      <c r="B390" t="inlineStr">
        <is>
          <t>郑州轻工业大学</t>
        </is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1</v>
      </c>
      <c r="L390" t="n">
        <v>3</v>
      </c>
      <c r="M390" t="n">
        <v>745.1038255709642</v>
      </c>
      <c r="N390" t="n">
        <v>17.07278675960185</v>
      </c>
      <c r="O390">
        <f>IF(N390=0, 0, M390/N390)</f>
        <v/>
      </c>
      <c r="P390">
        <f>RANK(O390, O$2:O$518, 0)</f>
        <v/>
      </c>
      <c r="Q390">
        <f>SUM(C390,F390)</f>
        <v/>
      </c>
      <c r="R390">
        <f>SUM(Q390,G390,H390,D390,E390)</f>
        <v/>
      </c>
      <c r="S390">
        <f>SUM(R390,I390,J390,K390,L390)</f>
        <v/>
      </c>
      <c r="T390">
        <f>IF(R390=0, -1, Q390/R390)</f>
        <v/>
      </c>
      <c r="U390">
        <f>IF(S390=0, -1, Q390/S390)</f>
        <v/>
      </c>
      <c r="V390">
        <f>IF(S390=0, -1, R390/S390)</f>
        <v/>
      </c>
    </row>
    <row r="391">
      <c r="A391" t="inlineStr">
        <is>
          <t>RC01272</t>
        </is>
      </c>
      <c r="B391" t="inlineStr">
        <is>
          <t>中国人民解放军陆军工程大学</t>
        </is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1</v>
      </c>
      <c r="J391" t="n">
        <v>1</v>
      </c>
      <c r="K391" t="n">
        <v>1</v>
      </c>
      <c r="L391" t="n">
        <v>1</v>
      </c>
      <c r="M391" t="n">
        <v>1441.932534486153</v>
      </c>
      <c r="N391" t="n">
        <v>16.23042383593174</v>
      </c>
      <c r="O391">
        <f>IF(N391=0, 0, M391/N391)</f>
        <v/>
      </c>
      <c r="P391">
        <f>RANK(O391, O$2:O$518, 0)</f>
        <v/>
      </c>
      <c r="Q391">
        <f>SUM(C391,F391)</f>
        <v/>
      </c>
      <c r="R391">
        <f>SUM(Q391,G391,H391,D391,E391)</f>
        <v/>
      </c>
      <c r="S391">
        <f>SUM(R391,I391,J391,K391,L391)</f>
        <v/>
      </c>
      <c r="T391">
        <f>IF(R391=0, -1, Q391/R391)</f>
        <v/>
      </c>
      <c r="U391">
        <f>IF(S391=0, -1, Q391/S391)</f>
        <v/>
      </c>
      <c r="V391">
        <f>IF(S391=0, -1, R391/S391)</f>
        <v/>
      </c>
    </row>
    <row r="392">
      <c r="A392" t="inlineStr">
        <is>
          <t>RC01280</t>
        </is>
      </c>
      <c r="B392" t="inlineStr">
        <is>
          <t>中国人民解放军海军航空大学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226.5368327611851</v>
      </c>
      <c r="N392" t="n">
        <v>4.605170185988092</v>
      </c>
      <c r="O392">
        <f>IF(N392=0, 0, M392/N392)</f>
        <v/>
      </c>
      <c r="P392">
        <f>RANK(O392, O$2:O$518, 0)</f>
        <v/>
      </c>
      <c r="Q392">
        <f>SUM(C392,F392)</f>
        <v/>
      </c>
      <c r="R392">
        <f>SUM(Q392,G392,H392,D392,E392)</f>
        <v/>
      </c>
      <c r="S392">
        <f>SUM(R392,I392,J392,K392,L392)</f>
        <v/>
      </c>
      <c r="T392">
        <f>IF(R392=0, -1, Q392/R392)</f>
        <v/>
      </c>
      <c r="U392">
        <f>IF(S392=0, -1, Q392/S392)</f>
        <v/>
      </c>
      <c r="V392">
        <f>IF(S392=0, -1, R392/S392)</f>
        <v/>
      </c>
    </row>
    <row r="393">
      <c r="A393" t="inlineStr">
        <is>
          <t>RC00572</t>
        </is>
      </c>
      <c r="B393" t="inlineStr">
        <is>
          <t>湖南理工学院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181.2294662089481</v>
      </c>
      <c r="N393" t="n">
        <v>4.605170185988092</v>
      </c>
      <c r="O393">
        <f>IF(N393=0, 0, M393/N393)</f>
        <v/>
      </c>
      <c r="P393">
        <f>RANK(O393, O$2:O$518, 0)</f>
        <v/>
      </c>
      <c r="Q393">
        <f>SUM(C393,F393)</f>
        <v/>
      </c>
      <c r="R393">
        <f>SUM(Q393,G393,H393,D393,E393)</f>
        <v/>
      </c>
      <c r="S393">
        <f>SUM(R393,I393,J393,K393,L393)</f>
        <v/>
      </c>
      <c r="T393">
        <f>IF(R393=0, -1, Q393/R393)</f>
        <v/>
      </c>
      <c r="U393">
        <f>IF(S393=0, -1, Q393/S393)</f>
        <v/>
      </c>
      <c r="V393">
        <f>IF(S393=0, -1, R393/S393)</f>
        <v/>
      </c>
    </row>
    <row r="394">
      <c r="A394" t="inlineStr">
        <is>
          <t>RC01267</t>
        </is>
      </c>
      <c r="B394" t="inlineStr">
        <is>
          <t>中国人民解放军空军预警学院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106.7959354445587</v>
      </c>
      <c r="N394" t="n">
        <v>4.605170185988092</v>
      </c>
      <c r="O394">
        <f>IF(N394=0, 0, M394/N394)</f>
        <v/>
      </c>
      <c r="P394">
        <f>RANK(O394, O$2:O$518, 0)</f>
        <v/>
      </c>
      <c r="Q394">
        <f>SUM(C394,F394)</f>
        <v/>
      </c>
      <c r="R394">
        <f>SUM(Q394,G394,H394,D394,E394)</f>
        <v/>
      </c>
      <c r="S394">
        <f>SUM(R394,I394,J394,K394,L394)</f>
        <v/>
      </c>
      <c r="T394">
        <f>IF(R394=0, -1, Q394/R394)</f>
        <v/>
      </c>
      <c r="U394">
        <f>IF(S394=0, -1, Q394/S394)</f>
        <v/>
      </c>
      <c r="V394">
        <f>IF(S394=0, -1, R394/S394)</f>
        <v/>
      </c>
    </row>
    <row r="395">
      <c r="A395" t="inlineStr">
        <is>
          <t>RC01257</t>
        </is>
      </c>
      <c r="B395" t="inlineStr">
        <is>
          <t>中国人民解放军火箭军工程大学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2</v>
      </c>
      <c r="K395" t="n">
        <v>0</v>
      </c>
      <c r="L395" t="n">
        <v>0</v>
      </c>
      <c r="M395" t="n">
        <v>785.7483402628695</v>
      </c>
      <c r="N395" t="n">
        <v>6.812345094177479</v>
      </c>
      <c r="O395">
        <f>IF(N395=0, 0, M395/N395)</f>
        <v/>
      </c>
      <c r="P395">
        <f>RANK(O395, O$2:O$518, 0)</f>
        <v/>
      </c>
      <c r="Q395">
        <f>SUM(C395,F395)</f>
        <v/>
      </c>
      <c r="R395">
        <f>SUM(Q395,G395,H395,D395,E395)</f>
        <v/>
      </c>
      <c r="S395">
        <f>SUM(R395,I395,J395,K395,L395)</f>
        <v/>
      </c>
      <c r="T395">
        <f>IF(R395=0, -1, Q395/R395)</f>
        <v/>
      </c>
      <c r="U395">
        <f>IF(S395=0, -1, Q395/S395)</f>
        <v/>
      </c>
      <c r="V395">
        <f>IF(S395=0, -1, R395/S395)</f>
        <v/>
      </c>
    </row>
    <row r="396">
      <c r="A396" t="inlineStr">
        <is>
          <t>RC00256</t>
        </is>
      </c>
      <c r="B396" t="inlineStr">
        <is>
          <t>辽宁工业大学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1</v>
      </c>
      <c r="L396" t="n">
        <v>1</v>
      </c>
      <c r="M396" t="n">
        <v>432.4829799264279</v>
      </c>
      <c r="N396" t="n">
        <v>9.612332790605375</v>
      </c>
      <c r="O396">
        <f>IF(N396=0, 0, M396/N396)</f>
        <v/>
      </c>
      <c r="P396">
        <f>RANK(O396, O$2:O$518, 0)</f>
        <v/>
      </c>
      <c r="Q396">
        <f>SUM(C396,F396)</f>
        <v/>
      </c>
      <c r="R396">
        <f>SUM(Q396,G396,H396,D396,E396)</f>
        <v/>
      </c>
      <c r="S396">
        <f>SUM(R396,I396,J396,K396,L396)</f>
        <v/>
      </c>
      <c r="T396">
        <f>IF(R396=0, -1, Q396/R396)</f>
        <v/>
      </c>
      <c r="U396">
        <f>IF(S396=0, -1, Q396/S396)</f>
        <v/>
      </c>
      <c r="V396">
        <f>IF(S396=0, -1, R396/S396)</f>
        <v/>
      </c>
    </row>
    <row r="397">
      <c r="A397" t="inlineStr">
        <is>
          <t>RC00307</t>
        </is>
      </c>
      <c r="B397" t="inlineStr">
        <is>
          <t>东北石油大学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2</v>
      </c>
      <c r="K397" t="n">
        <v>1</v>
      </c>
      <c r="L397" t="n">
        <v>0</v>
      </c>
      <c r="M397" t="n">
        <v>1665.988228497201</v>
      </c>
      <c r="N397" t="n">
        <v>9.947839310106628</v>
      </c>
      <c r="O397">
        <f>IF(N397=0, 0, M397/N397)</f>
        <v/>
      </c>
      <c r="P397">
        <f>RANK(O397, O$2:O$518, 0)</f>
        <v/>
      </c>
      <c r="Q397">
        <f>SUM(C397,F397)</f>
        <v/>
      </c>
      <c r="R397">
        <f>SUM(Q397,G397,H397,D397,E397)</f>
        <v/>
      </c>
      <c r="S397">
        <f>SUM(R397,I397,J397,K397,L397)</f>
        <v/>
      </c>
      <c r="T397">
        <f>IF(R397=0, -1, Q397/R397)</f>
        <v/>
      </c>
      <c r="U397">
        <f>IF(S397=0, -1, Q397/S397)</f>
        <v/>
      </c>
      <c r="V397">
        <f>IF(S397=0, -1, R397/S397)</f>
        <v/>
      </c>
    </row>
    <row r="398">
      <c r="A398" t="inlineStr">
        <is>
          <t>RC00166</t>
        </is>
      </c>
      <c r="B398" t="inlineStr">
        <is>
          <t>中国民航大学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1</v>
      </c>
      <c r="J398" t="n">
        <v>0</v>
      </c>
      <c r="K398" t="n">
        <v>1</v>
      </c>
      <c r="L398" t="n">
        <v>2</v>
      </c>
      <c r="M398" t="n">
        <v>1528.058598415796</v>
      </c>
      <c r="N398" t="n">
        <v>14.63193675468439</v>
      </c>
      <c r="O398">
        <f>IF(N398=0, 0, M398/N398)</f>
        <v/>
      </c>
      <c r="P398">
        <f>RANK(O398, O$2:O$518, 0)</f>
        <v/>
      </c>
      <c r="Q398">
        <f>SUM(C398,F398)</f>
        <v/>
      </c>
      <c r="R398">
        <f>SUM(Q398,G398,H398,D398,E398)</f>
        <v/>
      </c>
      <c r="S398">
        <f>SUM(R398,I398,J398,K398,L398)</f>
        <v/>
      </c>
      <c r="T398">
        <f>IF(R398=0, -1, Q398/R398)</f>
        <v/>
      </c>
      <c r="U398">
        <f>IF(S398=0, -1, Q398/S398)</f>
        <v/>
      </c>
      <c r="V398">
        <f>IF(S398=0, -1, R398/S398)</f>
        <v/>
      </c>
    </row>
    <row r="399">
      <c r="A399" t="inlineStr">
        <is>
          <t>RC00274</t>
        </is>
      </c>
      <c r="B399" t="inlineStr">
        <is>
          <t>大连大学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1</v>
      </c>
      <c r="K399" t="n">
        <v>0</v>
      </c>
      <c r="L399" t="n">
        <v>1</v>
      </c>
      <c r="M399" t="n">
        <v>444.4919922436732</v>
      </c>
      <c r="N399" t="n">
        <v>9.353921100453707</v>
      </c>
      <c r="O399">
        <f>IF(N399=0, 0, M399/N399)</f>
        <v/>
      </c>
      <c r="P399">
        <f>RANK(O399, O$2:O$518, 0)</f>
        <v/>
      </c>
      <c r="Q399">
        <f>SUM(C399,F399)</f>
        <v/>
      </c>
      <c r="R399">
        <f>SUM(Q399,G399,H399,D399,E399)</f>
        <v/>
      </c>
      <c r="S399">
        <f>SUM(R399,I399,J399,K399,L399)</f>
        <v/>
      </c>
      <c r="T399">
        <f>IF(R399=0, -1, Q399/R399)</f>
        <v/>
      </c>
      <c r="U399">
        <f>IF(S399=0, -1, Q399/S399)</f>
        <v/>
      </c>
      <c r="V399">
        <f>IF(S399=0, -1, R399/S399)</f>
        <v/>
      </c>
    </row>
    <row r="400">
      <c r="A400" t="inlineStr">
        <is>
          <t>RC00541</t>
        </is>
      </c>
      <c r="B400" t="inlineStr">
        <is>
          <t>湖北工业大学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1</v>
      </c>
      <c r="K400" t="n">
        <v>2</v>
      </c>
      <c r="L400" t="n">
        <v>2</v>
      </c>
      <c r="M400" t="n">
        <v>1477.154542395474</v>
      </c>
      <c r="N400" t="n">
        <v>19.01406239435811</v>
      </c>
      <c r="O400">
        <f>IF(N400=0, 0, M400/N400)</f>
        <v/>
      </c>
      <c r="P400">
        <f>RANK(O400, O$2:O$518, 0)</f>
        <v/>
      </c>
      <c r="Q400">
        <f>SUM(C400,F400)</f>
        <v/>
      </c>
      <c r="R400">
        <f>SUM(Q400,G400,H400,D400,E400)</f>
        <v/>
      </c>
      <c r="S400">
        <f>SUM(R400,I400,J400,K400,L400)</f>
        <v/>
      </c>
      <c r="T400">
        <f>IF(R400=0, -1, Q400/R400)</f>
        <v/>
      </c>
      <c r="U400">
        <f>IF(S400=0, -1, Q400/S400)</f>
        <v/>
      </c>
      <c r="V400">
        <f>IF(S400=0, -1, R400/S400)</f>
        <v/>
      </c>
    </row>
    <row r="401">
      <c r="A401" t="inlineStr">
        <is>
          <t>RC00680</t>
        </is>
      </c>
      <c r="B401" t="inlineStr">
        <is>
          <t>成都大学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136.9535549852498</v>
      </c>
      <c r="N401" t="n">
        <v>4.997212273764115</v>
      </c>
      <c r="O401">
        <f>IF(N401=0, 0, M401/N401)</f>
        <v/>
      </c>
      <c r="P401">
        <f>RANK(O401, O$2:O$518, 0)</f>
        <v/>
      </c>
      <c r="Q401">
        <f>SUM(C401,F401)</f>
        <v/>
      </c>
      <c r="R401">
        <f>SUM(Q401,G401,H401,D401,E401)</f>
        <v/>
      </c>
      <c r="S401">
        <f>SUM(R401,I401,J401,K401,L401)</f>
        <v/>
      </c>
      <c r="T401">
        <f>IF(R401=0, -1, Q401/R401)</f>
        <v/>
      </c>
      <c r="U401">
        <f>IF(S401=0, -1, Q401/S401)</f>
        <v/>
      </c>
      <c r="V401">
        <f>IF(S401=0, -1, R401/S401)</f>
        <v/>
      </c>
    </row>
    <row r="402">
      <c r="A402" t="inlineStr">
        <is>
          <t>RC00615</t>
        </is>
      </c>
      <c r="B402" t="inlineStr">
        <is>
          <t>东莞理工学院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2</v>
      </c>
      <c r="M402" t="n">
        <v>290.2389925431451</v>
      </c>
      <c r="N402" t="n">
        <v>9.428029072607428</v>
      </c>
      <c r="O402">
        <f>IF(N402=0, 0, M402/N402)</f>
        <v/>
      </c>
      <c r="P402">
        <f>RANK(O402, O$2:O$518, 0)</f>
        <v/>
      </c>
      <c r="Q402">
        <f>SUM(C402,F402)</f>
        <v/>
      </c>
      <c r="R402">
        <f>SUM(Q402,G402,H402,D402,E402)</f>
        <v/>
      </c>
      <c r="S402">
        <f>SUM(R402,I402,J402,K402,L402)</f>
        <v/>
      </c>
      <c r="T402">
        <f>IF(R402=0, -1, Q402/R402)</f>
        <v/>
      </c>
      <c r="U402">
        <f>IF(S402=0, -1, Q402/S402)</f>
        <v/>
      </c>
      <c r="V402">
        <f>IF(S402=0, -1, R402/S402)</f>
        <v/>
      </c>
    </row>
    <row r="403">
      <c r="A403" t="inlineStr">
        <is>
          <t>RC00149</t>
        </is>
      </c>
      <c r="B403" t="inlineStr">
        <is>
          <t>中央美术学院</t>
        </is>
      </c>
      <c r="C403" t="n">
        <v>0</v>
      </c>
      <c r="D403" t="n">
        <v>0</v>
      </c>
      <c r="E403" t="n">
        <v>0</v>
      </c>
      <c r="F403" t="n">
        <v>1</v>
      </c>
      <c r="G403" t="n">
        <v>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8931.737472879238</v>
      </c>
      <c r="N403" t="n">
        <v>17.26204325377957</v>
      </c>
      <c r="O403">
        <f>IF(N403=0, 0, M403/N403)</f>
        <v/>
      </c>
      <c r="P403">
        <f>RANK(O403, O$2:O$518, 0)</f>
        <v/>
      </c>
      <c r="Q403">
        <f>SUM(C403,F403)</f>
        <v/>
      </c>
      <c r="R403">
        <f>SUM(Q403,G403,H403,D403,E403)</f>
        <v/>
      </c>
      <c r="S403">
        <f>SUM(R403,I403,J403,K403,L403)</f>
        <v/>
      </c>
      <c r="T403">
        <f>IF(R403=0, -1, Q403/R403)</f>
        <v/>
      </c>
      <c r="U403">
        <f>IF(S403=0, -1, Q403/S403)</f>
        <v/>
      </c>
      <c r="V403">
        <f>IF(S403=0, -1, R403/S403)</f>
        <v/>
      </c>
    </row>
    <row r="404">
      <c r="A404" t="inlineStr">
        <is>
          <t>RC00419</t>
        </is>
      </c>
      <c r="B404" t="inlineStr">
        <is>
          <t>安徽建筑大学</t>
        </is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1</v>
      </c>
      <c r="L404" t="n">
        <v>1</v>
      </c>
      <c r="M404" t="n">
        <v>314.45256604881</v>
      </c>
      <c r="N404" t="n">
        <v>8.32263709695394</v>
      </c>
      <c r="O404">
        <f>IF(N404=0, 0, M404/N404)</f>
        <v/>
      </c>
      <c r="P404">
        <f>RANK(O404, O$2:O$518, 0)</f>
        <v/>
      </c>
      <c r="Q404">
        <f>SUM(C404,F404)</f>
        <v/>
      </c>
      <c r="R404">
        <f>SUM(Q404,G404,H404,D404,E404)</f>
        <v/>
      </c>
      <c r="S404">
        <f>SUM(R404,I404,J404,K404,L404)</f>
        <v/>
      </c>
      <c r="T404">
        <f>IF(R404=0, -1, Q404/R404)</f>
        <v/>
      </c>
      <c r="U404">
        <f>IF(S404=0, -1, Q404/S404)</f>
        <v/>
      </c>
      <c r="V404">
        <f>IF(S404=0, -1, R404/S404)</f>
        <v/>
      </c>
    </row>
    <row r="405">
      <c r="A405" t="inlineStr">
        <is>
          <t>RC00285</t>
        </is>
      </c>
      <c r="B405" t="inlineStr">
        <is>
          <t>吉林建筑大学</t>
        </is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2</v>
      </c>
      <c r="M405" t="n">
        <v>282.0181249143692</v>
      </c>
      <c r="N405" t="n">
        <v>8.32263709695394</v>
      </c>
      <c r="O405">
        <f>IF(N405=0, 0, M405/N405)</f>
        <v/>
      </c>
      <c r="P405">
        <f>RANK(O405, O$2:O$518, 0)</f>
        <v/>
      </c>
      <c r="Q405">
        <f>SUM(C405,F405)</f>
        <v/>
      </c>
      <c r="R405">
        <f>SUM(Q405,G405,H405,D405,E405)</f>
        <v/>
      </c>
      <c r="S405">
        <f>SUM(R405,I405,J405,K405,L405)</f>
        <v/>
      </c>
      <c r="T405">
        <f>IF(R405=0, -1, Q405/R405)</f>
        <v/>
      </c>
      <c r="U405">
        <f>IF(S405=0, -1, Q405/S405)</f>
        <v/>
      </c>
      <c r="V405">
        <f>IF(S405=0, -1, R405/S405)</f>
        <v/>
      </c>
    </row>
    <row r="406">
      <c r="A406" t="inlineStr">
        <is>
          <t>RC00199</t>
        </is>
      </c>
      <c r="B406" t="inlineStr">
        <is>
          <t>石家庄铁道大学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2</v>
      </c>
      <c r="J406" t="n">
        <v>0</v>
      </c>
      <c r="K406" t="n">
        <v>0</v>
      </c>
      <c r="L406" t="n">
        <v>0</v>
      </c>
      <c r="M406" t="n">
        <v>1004.993088032801</v>
      </c>
      <c r="N406" t="n">
        <v>7.986164860332726</v>
      </c>
      <c r="O406">
        <f>IF(N406=0, 0, M406/N406)</f>
        <v/>
      </c>
      <c r="P406">
        <f>RANK(O406, O$2:O$518, 0)</f>
        <v/>
      </c>
      <c r="Q406">
        <f>SUM(C406,F406)</f>
        <v/>
      </c>
      <c r="R406">
        <f>SUM(Q406,G406,H406,D406,E406)</f>
        <v/>
      </c>
      <c r="S406">
        <f>SUM(R406,I406,J406,K406,L406)</f>
        <v/>
      </c>
      <c r="T406">
        <f>IF(R406=0, -1, Q406/R406)</f>
        <v/>
      </c>
      <c r="U406">
        <f>IF(S406=0, -1, Q406/S406)</f>
        <v/>
      </c>
      <c r="V406">
        <f>IF(S406=0, -1, R406/S406)</f>
        <v/>
      </c>
    </row>
    <row r="407">
      <c r="A407" t="inlineStr">
        <is>
          <t>RC00178</t>
        </is>
      </c>
      <c r="B407" t="inlineStr">
        <is>
          <t>天津城建大学</t>
        </is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271.8647383102294</v>
      </c>
      <c r="N407" t="n">
        <v>4.430816798843313</v>
      </c>
      <c r="O407">
        <f>IF(N407=0, 0, M407/N407)</f>
        <v/>
      </c>
      <c r="P407">
        <f>RANK(O407, O$2:O$518, 0)</f>
        <v/>
      </c>
      <c r="Q407">
        <f>SUM(C407,F407)</f>
        <v/>
      </c>
      <c r="R407">
        <f>SUM(Q407,G407,H407,D407,E407)</f>
        <v/>
      </c>
      <c r="S407">
        <f>SUM(R407,I407,J407,K407,L407)</f>
        <v/>
      </c>
      <c r="T407">
        <f>IF(R407=0, -1, Q407/R407)</f>
        <v/>
      </c>
      <c r="U407">
        <f>IF(S407=0, -1, Q407/S407)</f>
        <v/>
      </c>
      <c r="V407">
        <f>IF(S407=0, -1, R407/S407)</f>
        <v/>
      </c>
    </row>
    <row r="408">
      <c r="A408" t="inlineStr">
        <is>
          <t>RC00248</t>
        </is>
      </c>
      <c r="B408" t="inlineStr">
        <is>
          <t>辽宁科技大学</t>
        </is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179.3150401620662</v>
      </c>
      <c r="N408" t="n">
        <v>4.430816798843313</v>
      </c>
      <c r="O408">
        <f>IF(N408=0, 0, M408/N408)</f>
        <v/>
      </c>
      <c r="P408">
        <f>RANK(O408, O$2:O$518, 0)</f>
        <v/>
      </c>
      <c r="Q408">
        <f>SUM(C408,F408)</f>
        <v/>
      </c>
      <c r="R408">
        <f>SUM(Q408,G408,H408,D408,E408)</f>
        <v/>
      </c>
      <c r="S408">
        <f>SUM(R408,I408,J408,K408,L408)</f>
        <v/>
      </c>
      <c r="T408">
        <f>IF(R408=0, -1, Q408/R408)</f>
        <v/>
      </c>
      <c r="U408">
        <f>IF(S408=0, -1, Q408/S408)</f>
        <v/>
      </c>
      <c r="V408">
        <f>IF(S408=0, -1, R408/S408)</f>
        <v/>
      </c>
    </row>
    <row r="409">
      <c r="A409" t="inlineStr">
        <is>
          <t>RC00425</t>
        </is>
      </c>
      <c r="B409" t="inlineStr">
        <is>
          <t>福建理工大学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1</v>
      </c>
      <c r="L409" t="n">
        <v>1</v>
      </c>
      <c r="M409" t="n">
        <v>269.5029255494771</v>
      </c>
      <c r="N409" t="n">
        <v>8.192016914536875</v>
      </c>
      <c r="O409">
        <f>IF(N409=0, 0, M409/N409)</f>
        <v/>
      </c>
      <c r="P409">
        <f>RANK(O409, O$2:O$518, 0)</f>
        <v/>
      </c>
      <c r="Q409">
        <f>SUM(C409,F409)</f>
        <v/>
      </c>
      <c r="R409">
        <f>SUM(Q409,G409,H409,D409,E409)</f>
        <v/>
      </c>
      <c r="S409">
        <f>SUM(R409,I409,J409,K409,L409)</f>
        <v/>
      </c>
      <c r="T409">
        <f>IF(R409=0, -1, Q409/R409)</f>
        <v/>
      </c>
      <c r="U409">
        <f>IF(S409=0, -1, Q409/S409)</f>
        <v/>
      </c>
      <c r="V409">
        <f>IF(S409=0, -1, R409/S409)</f>
        <v/>
      </c>
    </row>
    <row r="410">
      <c r="A410" t="inlineStr">
        <is>
          <t>RC00180</t>
        </is>
      </c>
      <c r="B410" t="inlineStr">
        <is>
          <t>河北工程大学</t>
        </is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205.6658497318731</v>
      </c>
      <c r="N410" t="n">
        <v>3.526360524616162</v>
      </c>
      <c r="O410">
        <f>IF(N410=0, 0, M410/N410)</f>
        <v/>
      </c>
      <c r="P410">
        <f>RANK(O410, O$2:O$518, 0)</f>
        <v/>
      </c>
      <c r="Q410">
        <f>SUM(C410,F410)</f>
        <v/>
      </c>
      <c r="R410">
        <f>SUM(Q410,G410,H410,D410,E410)</f>
        <v/>
      </c>
      <c r="S410">
        <f>SUM(R410,I410,J410,K410,L410)</f>
        <v/>
      </c>
      <c r="T410">
        <f>IF(R410=0, -1, Q410/R410)</f>
        <v/>
      </c>
      <c r="U410">
        <f>IF(S410=0, -1, Q410/S410)</f>
        <v/>
      </c>
      <c r="V410">
        <f>IF(S410=0, -1, R410/S410)</f>
        <v/>
      </c>
    </row>
    <row r="411">
      <c r="A411" t="inlineStr">
        <is>
          <t>RC00458</t>
        </is>
      </c>
      <c r="B411" t="inlineStr">
        <is>
          <t>江西水利电力大学</t>
        </is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120.1643166972742</v>
      </c>
      <c r="N411" t="n">
        <v>3.526360524616162</v>
      </c>
      <c r="O411">
        <f>IF(N411=0, 0, M411/N411)</f>
        <v/>
      </c>
      <c r="P411">
        <f>RANK(O411, O$2:O$518, 0)</f>
        <v/>
      </c>
      <c r="Q411">
        <f>SUM(C411,F411)</f>
        <v/>
      </c>
      <c r="R411">
        <f>SUM(Q411,G411,H411,D411,E411)</f>
        <v/>
      </c>
      <c r="S411">
        <f>SUM(R411,I411,J411,K411,L411)</f>
        <v/>
      </c>
      <c r="T411">
        <f>IF(R411=0, -1, Q411/R411)</f>
        <v/>
      </c>
      <c r="U411">
        <f>IF(S411=0, -1, Q411/S411)</f>
        <v/>
      </c>
      <c r="V411">
        <f>IF(S411=0, -1, R411/S411)</f>
        <v/>
      </c>
    </row>
    <row r="412">
      <c r="A412" t="inlineStr">
        <is>
          <t>RC01259</t>
        </is>
      </c>
      <c r="B412" t="inlineStr">
        <is>
          <t>中国人民解放军海军大连舰艇学院</t>
        </is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78.57023603301774</v>
      </c>
      <c r="N412" t="n">
        <v>3.367295829986474</v>
      </c>
      <c r="O412">
        <f>IF(N412=0, 0, M412/N412)</f>
        <v/>
      </c>
      <c r="P412">
        <f>RANK(O412, O$2:O$518, 0)</f>
        <v/>
      </c>
      <c r="Q412">
        <f>SUM(C412,F412)</f>
        <v/>
      </c>
      <c r="R412">
        <f>SUM(Q412,G412,H412,D412,E412)</f>
        <v/>
      </c>
      <c r="S412">
        <f>SUM(R412,I412,J412,K412,L412)</f>
        <v/>
      </c>
      <c r="T412">
        <f>IF(R412=0, -1, Q412/R412)</f>
        <v/>
      </c>
      <c r="U412">
        <f>IF(S412=0, -1, Q412/S412)</f>
        <v/>
      </c>
      <c r="V412">
        <f>IF(S412=0, -1, R412/S412)</f>
        <v/>
      </c>
    </row>
    <row r="413">
      <c r="A413" t="inlineStr">
        <is>
          <t>RC00557</t>
        </is>
      </c>
      <c r="B413" t="inlineStr">
        <is>
          <t>江汉大学</t>
        </is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459.5149226047906</v>
      </c>
      <c r="N413" t="n">
        <v>4.51085950651685</v>
      </c>
      <c r="O413">
        <f>IF(N413=0, 0, M413/N413)</f>
        <v/>
      </c>
      <c r="P413">
        <f>RANK(O413, O$2:O$518, 0)</f>
        <v/>
      </c>
      <c r="Q413">
        <f>SUM(C413,F413)</f>
        <v/>
      </c>
      <c r="R413">
        <f>SUM(Q413,G413,H413,D413,E413)</f>
        <v/>
      </c>
      <c r="S413">
        <f>SUM(R413,I413,J413,K413,L413)</f>
        <v/>
      </c>
      <c r="T413">
        <f>IF(R413=0, -1, Q413/R413)</f>
        <v/>
      </c>
      <c r="U413">
        <f>IF(S413=0, -1, Q413/S413)</f>
        <v/>
      </c>
      <c r="V413">
        <f>IF(S413=0, -1, R413/S413)</f>
        <v/>
      </c>
    </row>
    <row r="414">
      <c r="A414" t="inlineStr">
        <is>
          <t>RC00251</t>
        </is>
      </c>
      <c r="B414" t="inlineStr">
        <is>
          <t>沈阳化工大学</t>
        </is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377.9442262844136</v>
      </c>
      <c r="N414" t="n">
        <v>4.51085950651685</v>
      </c>
      <c r="O414">
        <f>IF(N414=0, 0, M414/N414)</f>
        <v/>
      </c>
      <c r="P414">
        <f>RANK(O414, O$2:O$518, 0)</f>
        <v/>
      </c>
      <c r="Q414">
        <f>SUM(C414,F414)</f>
        <v/>
      </c>
      <c r="R414">
        <f>SUM(Q414,G414,H414,D414,E414)</f>
        <v/>
      </c>
      <c r="S414">
        <f>SUM(R414,I414,J414,K414,L414)</f>
        <v/>
      </c>
      <c r="T414">
        <f>IF(R414=0, -1, Q414/R414)</f>
        <v/>
      </c>
      <c r="U414">
        <f>IF(S414=0, -1, Q414/S414)</f>
        <v/>
      </c>
      <c r="V414">
        <f>IF(S414=0, -1, R414/S414)</f>
        <v/>
      </c>
    </row>
    <row r="415">
      <c r="A415" t="inlineStr">
        <is>
          <t>RC00663</t>
        </is>
      </c>
      <c r="B415" t="inlineStr">
        <is>
          <t>四川轻化工大学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2</v>
      </c>
      <c r="M415" t="n">
        <v>280.2580622406148</v>
      </c>
      <c r="N415" t="n">
        <v>8.976767625171433</v>
      </c>
      <c r="O415">
        <f>IF(N415=0, 0, M415/N415)</f>
        <v/>
      </c>
      <c r="P415">
        <f>RANK(O415, O$2:O$518, 0)</f>
        <v/>
      </c>
      <c r="Q415">
        <f>SUM(C415,F415)</f>
        <v/>
      </c>
      <c r="R415">
        <f>SUM(Q415,G415,H415,D415,E415)</f>
        <v/>
      </c>
      <c r="S415">
        <f>SUM(R415,I415,J415,K415,L415)</f>
        <v/>
      </c>
      <c r="T415">
        <f>IF(R415=0, -1, Q415/R415)</f>
        <v/>
      </c>
      <c r="U415">
        <f>IF(S415=0, -1, Q415/S415)</f>
        <v/>
      </c>
      <c r="V415">
        <f>IF(S415=0, -1, R415/S415)</f>
        <v/>
      </c>
    </row>
    <row r="416">
      <c r="A416" t="inlineStr">
        <is>
          <t>RC00732</t>
        </is>
      </c>
      <c r="B416" t="inlineStr">
        <is>
          <t>西安石油大学</t>
        </is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3</v>
      </c>
      <c r="M416" t="n">
        <v>604.7355298733444</v>
      </c>
      <c r="N416" t="n">
        <v>9.843578299782219</v>
      </c>
      <c r="O416">
        <f>IF(N416=0, 0, M416/N416)</f>
        <v/>
      </c>
      <c r="P416">
        <f>RANK(O416, O$2:O$518, 0)</f>
        <v/>
      </c>
      <c r="Q416">
        <f>SUM(C416,F416)</f>
        <v/>
      </c>
      <c r="R416">
        <f>SUM(Q416,G416,H416,D416,E416)</f>
        <v/>
      </c>
      <c r="S416">
        <f>SUM(R416,I416,J416,K416,L416)</f>
        <v/>
      </c>
      <c r="T416">
        <f>IF(R416=0, -1, Q416/R416)</f>
        <v/>
      </c>
      <c r="U416">
        <f>IF(S416=0, -1, Q416/S416)</f>
        <v/>
      </c>
      <c r="V416">
        <f>IF(S416=0, -1, R416/S416)</f>
        <v/>
      </c>
    </row>
    <row r="417">
      <c r="A417" t="inlineStr">
        <is>
          <t>RC00734</t>
        </is>
      </c>
      <c r="B417" t="inlineStr">
        <is>
          <t>西安工程大学</t>
        </is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260.1996491924608</v>
      </c>
      <c r="N417" t="n">
        <v>2.484906649788</v>
      </c>
      <c r="O417">
        <f>IF(N417=0, 0, M417/N417)</f>
        <v/>
      </c>
      <c r="P417">
        <f>RANK(O417, O$2:O$518, 0)</f>
        <v/>
      </c>
      <c r="Q417">
        <f>SUM(C417,F417)</f>
        <v/>
      </c>
      <c r="R417">
        <f>SUM(Q417,G417,H417,D417,E417)</f>
        <v/>
      </c>
      <c r="S417">
        <f>SUM(R417,I417,J417,K417,L417)</f>
        <v/>
      </c>
      <c r="T417">
        <f>IF(R417=0, -1, Q417/R417)</f>
        <v/>
      </c>
      <c r="U417">
        <f>IF(S417=0, -1, Q417/S417)</f>
        <v/>
      </c>
      <c r="V417">
        <f>IF(S417=0, -1, R417/S417)</f>
        <v/>
      </c>
    </row>
    <row r="418">
      <c r="A418" t="inlineStr">
        <is>
          <t>RC00128</t>
        </is>
      </c>
      <c r="B418" t="inlineStr">
        <is>
          <t>北京服装学院</t>
        </is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1</v>
      </c>
      <c r="I418" t="n">
        <v>0</v>
      </c>
      <c r="J418" t="n">
        <v>1</v>
      </c>
      <c r="K418" t="n">
        <v>0</v>
      </c>
      <c r="L418" t="n">
        <v>1</v>
      </c>
      <c r="M418" t="n">
        <v>1337.662417898074</v>
      </c>
      <c r="N418" t="n">
        <v>11.47310297078306</v>
      </c>
      <c r="O418">
        <f>IF(N418=0, 0, M418/N418)</f>
        <v/>
      </c>
      <c r="P418">
        <f>RANK(O418, O$2:O$518, 0)</f>
        <v/>
      </c>
      <c r="Q418">
        <f>SUM(C418,F418)</f>
        <v/>
      </c>
      <c r="R418">
        <f>SUM(Q418,G418,H418,D418,E418)</f>
        <v/>
      </c>
      <c r="S418">
        <f>SUM(R418,I418,J418,K418,L418)</f>
        <v/>
      </c>
      <c r="T418">
        <f>IF(R418=0, -1, Q418/R418)</f>
        <v/>
      </c>
      <c r="U418">
        <f>IF(S418=0, -1, Q418/S418)</f>
        <v/>
      </c>
      <c r="V418">
        <f>IF(S418=0, -1, R418/S418)</f>
        <v/>
      </c>
    </row>
    <row r="419">
      <c r="A419" t="inlineStr">
        <is>
          <t>RC00254</t>
        </is>
      </c>
      <c r="B419" t="inlineStr">
        <is>
          <t>大连工业大学</t>
        </is>
      </c>
      <c r="C419" t="n">
        <v>0</v>
      </c>
      <c r="D419" t="n">
        <v>0</v>
      </c>
      <c r="E419" t="n">
        <v>0</v>
      </c>
      <c r="F419" t="n">
        <v>0</v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1701.161777846381</v>
      </c>
      <c r="N419" t="n">
        <v>6.579251212010101</v>
      </c>
      <c r="O419">
        <f>IF(N419=0, 0, M419/N419)</f>
        <v/>
      </c>
      <c r="P419">
        <f>RANK(O419, O$2:O$518, 0)</f>
        <v/>
      </c>
      <c r="Q419">
        <f>SUM(C419,F419)</f>
        <v/>
      </c>
      <c r="R419">
        <f>SUM(Q419,G419,H419,D419,E419)</f>
        <v/>
      </c>
      <c r="S419">
        <f>SUM(R419,I419,J419,K419,L419)</f>
        <v/>
      </c>
      <c r="T419">
        <f>IF(R419=0, -1, Q419/R419)</f>
        <v/>
      </c>
      <c r="U419">
        <f>IF(S419=0, -1, Q419/S419)</f>
        <v/>
      </c>
      <c r="V419">
        <f>IF(S419=0, -1, R419/S419)</f>
        <v/>
      </c>
    </row>
    <row r="420">
      <c r="A420" t="inlineStr">
        <is>
          <t>RC00252</t>
        </is>
      </c>
      <c r="B420" t="inlineStr">
        <is>
          <t>大连交通大学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134.8335592181614</v>
      </c>
      <c r="N420" t="n">
        <v>3.555348061489414</v>
      </c>
      <c r="O420">
        <f>IF(N420=0, 0, M420/N420)</f>
        <v/>
      </c>
      <c r="P420">
        <f>RANK(O420, O$2:O$518, 0)</f>
        <v/>
      </c>
      <c r="Q420">
        <f>SUM(C420,F420)</f>
        <v/>
      </c>
      <c r="R420">
        <f>SUM(Q420,G420,H420,D420,E420)</f>
        <v/>
      </c>
      <c r="S420">
        <f>SUM(R420,I420,J420,K420,L420)</f>
        <v/>
      </c>
      <c r="T420">
        <f>IF(R420=0, -1, Q420/R420)</f>
        <v/>
      </c>
      <c r="U420">
        <f>IF(S420=0, -1, Q420/S420)</f>
        <v/>
      </c>
      <c r="V420">
        <f>IF(S420=0, -1, R420/S420)</f>
        <v/>
      </c>
    </row>
    <row r="421">
      <c r="A421" t="inlineStr">
        <is>
          <t>RC00706</t>
        </is>
      </c>
      <c r="B421" t="inlineStr">
        <is>
          <t>西南林业大学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1</v>
      </c>
      <c r="K421" t="n">
        <v>1</v>
      </c>
      <c r="L421" t="n">
        <v>1</v>
      </c>
      <c r="M421" t="n">
        <v>1322.601365531599</v>
      </c>
      <c r="N421" t="n">
        <v>6.96979066990159</v>
      </c>
      <c r="O421">
        <f>IF(N421=0, 0, M421/N421)</f>
        <v/>
      </c>
      <c r="P421">
        <f>RANK(O421, O$2:O$518, 0)</f>
        <v/>
      </c>
      <c r="Q421">
        <f>SUM(C421,F421)</f>
        <v/>
      </c>
      <c r="R421">
        <f>SUM(Q421,G421,H421,D421,E421)</f>
        <v/>
      </c>
      <c r="S421">
        <f>SUM(R421,I421,J421,K421,L421)</f>
        <v/>
      </c>
      <c r="T421">
        <f>IF(R421=0, -1, Q421/R421)</f>
        <v/>
      </c>
      <c r="U421">
        <f>IF(S421=0, -1, Q421/S421)</f>
        <v/>
      </c>
      <c r="V421">
        <f>IF(S421=0, -1, R421/S421)</f>
        <v/>
      </c>
    </row>
    <row r="422">
      <c r="A422" t="inlineStr">
        <is>
          <t>RC00273</t>
        </is>
      </c>
      <c r="B422" t="inlineStr">
        <is>
          <t>沈阳大学</t>
        </is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2</v>
      </c>
      <c r="M422" t="n">
        <v>458.0234100952312</v>
      </c>
      <c r="N422" t="n">
        <v>9.687816016060619</v>
      </c>
      <c r="O422">
        <f>IF(N422=0, 0, M422/N422)</f>
        <v/>
      </c>
      <c r="P422">
        <f>RANK(O422, O$2:O$518, 0)</f>
        <v/>
      </c>
      <c r="Q422">
        <f>SUM(C422,F422)</f>
        <v/>
      </c>
      <c r="R422">
        <f>SUM(Q422,G422,H422,D422,E422)</f>
        <v/>
      </c>
      <c r="S422">
        <f>SUM(R422,I422,J422,K422,L422)</f>
        <v/>
      </c>
      <c r="T422">
        <f>IF(R422=0, -1, Q422/R422)</f>
        <v/>
      </c>
      <c r="U422">
        <f>IF(S422=0, -1, Q422/S422)</f>
        <v/>
      </c>
      <c r="V422">
        <f>IF(S422=0, -1, R422/S422)</f>
        <v/>
      </c>
    </row>
    <row r="423">
      <c r="A423" t="inlineStr">
        <is>
          <t>RC00184</t>
        </is>
      </c>
      <c r="B423" t="inlineStr">
        <is>
          <t>河北科技大学</t>
        </is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156.376797950888</v>
      </c>
      <c r="N423" t="n">
        <v>4.644390899141372</v>
      </c>
      <c r="O423">
        <f>IF(N423=0, 0, M423/N423)</f>
        <v/>
      </c>
      <c r="P423">
        <f>RANK(O423, O$2:O$518, 0)</f>
        <v/>
      </c>
      <c r="Q423">
        <f>SUM(C423,F423)</f>
        <v/>
      </c>
      <c r="R423">
        <f>SUM(Q423,G423,H423,D423,E423)</f>
        <v/>
      </c>
      <c r="S423">
        <f>SUM(R423,I423,J423,K423,L423)</f>
        <v/>
      </c>
      <c r="T423">
        <f>IF(R423=0, -1, Q423/R423)</f>
        <v/>
      </c>
      <c r="U423">
        <f>IF(S423=0, -1, Q423/S423)</f>
        <v/>
      </c>
      <c r="V423">
        <f>IF(S423=0, -1, R423/S423)</f>
        <v/>
      </c>
    </row>
    <row r="424">
      <c r="A424" t="inlineStr">
        <is>
          <t>RC00446</t>
        </is>
      </c>
      <c r="B424" t="inlineStr">
        <is>
          <t>江西农业大学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1</v>
      </c>
      <c r="J424" t="n">
        <v>0</v>
      </c>
      <c r="K424" t="n">
        <v>2</v>
      </c>
      <c r="L424" t="n">
        <v>5</v>
      </c>
      <c r="M424" t="n">
        <v>2972.917897528444</v>
      </c>
      <c r="N424" t="n">
        <v>27.98143582616668</v>
      </c>
      <c r="O424">
        <f>IF(N424=0, 0, M424/N424)</f>
        <v/>
      </c>
      <c r="P424">
        <f>RANK(O424, O$2:O$518, 0)</f>
        <v/>
      </c>
      <c r="Q424">
        <f>SUM(C424,F424)</f>
        <v/>
      </c>
      <c r="R424">
        <f>SUM(Q424,G424,H424,D424,E424)</f>
        <v/>
      </c>
      <c r="S424">
        <f>SUM(R424,I424,J424,K424,L424)</f>
        <v/>
      </c>
      <c r="T424">
        <f>IF(R424=0, -1, Q424/R424)</f>
        <v/>
      </c>
      <c r="U424">
        <f>IF(S424=0, -1, Q424/S424)</f>
        <v/>
      </c>
      <c r="V424">
        <f>IF(S424=0, -1, R424/S424)</f>
        <v/>
      </c>
    </row>
    <row r="425">
      <c r="A425" t="inlineStr">
        <is>
          <t>RC00593</t>
        </is>
      </c>
      <c r="B425" t="inlineStr">
        <is>
          <t>广东海洋大学</t>
        </is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1</v>
      </c>
      <c r="K425" t="n">
        <v>0</v>
      </c>
      <c r="L425" t="n">
        <v>1</v>
      </c>
      <c r="M425" t="n">
        <v>757.8833802789169</v>
      </c>
      <c r="N425" t="n">
        <v>7.038783541388541</v>
      </c>
      <c r="O425">
        <f>IF(N425=0, 0, M425/N425)</f>
        <v/>
      </c>
      <c r="P425">
        <f>RANK(O425, O$2:O$518, 0)</f>
        <v/>
      </c>
      <c r="Q425">
        <f>SUM(C425,F425)</f>
        <v/>
      </c>
      <c r="R425">
        <f>SUM(Q425,G425,H425,D425,E425)</f>
        <v/>
      </c>
      <c r="S425">
        <f>SUM(R425,I425,J425,K425,L425)</f>
        <v/>
      </c>
      <c r="T425">
        <f>IF(R425=0, -1, Q425/R425)</f>
        <v/>
      </c>
      <c r="U425">
        <f>IF(S425=0, -1, Q425/S425)</f>
        <v/>
      </c>
      <c r="V425">
        <f>IF(S425=0, -1, R425/S425)</f>
        <v/>
      </c>
    </row>
    <row r="426">
      <c r="A426" t="inlineStr">
        <is>
          <t>RC00309</t>
        </is>
      </c>
      <c r="B426" t="inlineStr">
        <is>
          <t>黑龙江八一农垦大学</t>
        </is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1</v>
      </c>
      <c r="L426" t="n">
        <v>1</v>
      </c>
      <c r="M426" t="n">
        <v>504.9693550003581</v>
      </c>
      <c r="N426" t="n">
        <v>7.272398392570047</v>
      </c>
      <c r="O426">
        <f>IF(N426=0, 0, M426/N426)</f>
        <v/>
      </c>
      <c r="P426">
        <f>RANK(O426, O$2:O$518, 0)</f>
        <v/>
      </c>
      <c r="Q426">
        <f>SUM(C426,F426)</f>
        <v/>
      </c>
      <c r="R426">
        <f>SUM(Q426,G426,H426,D426,E426)</f>
        <v/>
      </c>
      <c r="S426">
        <f>SUM(R426,I426,J426,K426,L426)</f>
        <v/>
      </c>
      <c r="T426">
        <f>IF(R426=0, -1, Q426/R426)</f>
        <v/>
      </c>
      <c r="U426">
        <f>IF(S426=0, -1, Q426/S426)</f>
        <v/>
      </c>
      <c r="V426">
        <f>IF(S426=0, -1, R426/S426)</f>
        <v/>
      </c>
    </row>
    <row r="427">
      <c r="A427" t="inlineStr">
        <is>
          <t>RC00705</t>
        </is>
      </c>
      <c r="B427" t="inlineStr">
        <is>
          <t>云南农业大学</t>
        </is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1</v>
      </c>
      <c r="K427" t="n">
        <v>0</v>
      </c>
      <c r="L427" t="n">
        <v>3</v>
      </c>
      <c r="M427" t="n">
        <v>1733.453966207832</v>
      </c>
      <c r="N427" t="n">
        <v>13.45241504622262</v>
      </c>
      <c r="O427">
        <f>IF(N427=0, 0, M427/N427)</f>
        <v/>
      </c>
      <c r="P427">
        <f>RANK(O427, O$2:O$518, 0)</f>
        <v/>
      </c>
      <c r="Q427">
        <f>SUM(C427,F427)</f>
        <v/>
      </c>
      <c r="R427">
        <f>SUM(Q427,G427,H427,D427,E427)</f>
        <v/>
      </c>
      <c r="S427">
        <f>SUM(R427,I427,J427,K427,L427)</f>
        <v/>
      </c>
      <c r="T427">
        <f>IF(R427=0, -1, Q427/R427)</f>
        <v/>
      </c>
      <c r="U427">
        <f>IF(S427=0, -1, Q427/S427)</f>
        <v/>
      </c>
      <c r="V427">
        <f>IF(S427=0, -1, R427/S427)</f>
        <v/>
      </c>
    </row>
    <row r="428">
      <c r="A428" t="inlineStr">
        <is>
          <t>RC00402</t>
        </is>
      </c>
      <c r="B428" t="inlineStr">
        <is>
          <t>安徽工程大学</t>
        </is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1</v>
      </c>
      <c r="J428" t="n">
        <v>1</v>
      </c>
      <c r="K428" t="n">
        <v>0</v>
      </c>
      <c r="L428" t="n">
        <v>0</v>
      </c>
      <c r="M428" t="n">
        <v>851.7614617431091</v>
      </c>
      <c r="N428" t="n">
        <v>8.867568333206442</v>
      </c>
      <c r="O428">
        <f>IF(N428=0, 0, M428/N428)</f>
        <v/>
      </c>
      <c r="P428">
        <f>RANK(O428, O$2:O$518, 0)</f>
        <v/>
      </c>
      <c r="Q428">
        <f>SUM(C428,F428)</f>
        <v/>
      </c>
      <c r="R428">
        <f>SUM(Q428,G428,H428,D428,E428)</f>
        <v/>
      </c>
      <c r="S428">
        <f>SUM(R428,I428,J428,K428,L428)</f>
        <v/>
      </c>
      <c r="T428">
        <f>IF(R428=0, -1, Q428/R428)</f>
        <v/>
      </c>
      <c r="U428">
        <f>IF(S428=0, -1, Q428/S428)</f>
        <v/>
      </c>
      <c r="V428">
        <f>IF(S428=0, -1, R428/S428)</f>
        <v/>
      </c>
    </row>
    <row r="429">
      <c r="A429" t="inlineStr">
        <is>
          <t>RC00479</t>
        </is>
      </c>
      <c r="B429" t="inlineStr">
        <is>
          <t>聊城大学</t>
        </is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1</v>
      </c>
      <c r="L429" t="n">
        <v>1</v>
      </c>
      <c r="M429" t="n">
        <v>459.6074032940865</v>
      </c>
      <c r="N429" t="n">
        <v>7.249925536717988</v>
      </c>
      <c r="O429">
        <f>IF(N429=0, 0, M429/N429)</f>
        <v/>
      </c>
      <c r="P429">
        <f>RANK(O429, O$2:O$518, 0)</f>
        <v/>
      </c>
      <c r="Q429">
        <f>SUM(C429,F429)</f>
        <v/>
      </c>
      <c r="R429">
        <f>SUM(Q429,G429,H429,D429,E429)</f>
        <v/>
      </c>
      <c r="S429">
        <f>SUM(R429,I429,J429,K429,L429)</f>
        <v/>
      </c>
      <c r="T429">
        <f>IF(R429=0, -1, Q429/R429)</f>
        <v/>
      </c>
      <c r="U429">
        <f>IF(S429=0, -1, Q429/S429)</f>
        <v/>
      </c>
      <c r="V429">
        <f>IF(S429=0, -1, R429/S429)</f>
        <v/>
      </c>
    </row>
    <row r="430">
      <c r="A430" t="inlineStr">
        <is>
          <t>RC00203</t>
        </is>
      </c>
      <c r="B430" t="inlineStr">
        <is>
          <t>中国人民警察大学</t>
        </is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556.1895280003272</v>
      </c>
      <c r="N430" t="n">
        <v>3.465735902799727</v>
      </c>
      <c r="O430">
        <f>IF(N430=0, 0, M430/N430)</f>
        <v/>
      </c>
      <c r="P430">
        <f>RANK(O430, O$2:O$518, 0)</f>
        <v/>
      </c>
      <c r="Q430">
        <f>SUM(C430,F430)</f>
        <v/>
      </c>
      <c r="R430">
        <f>SUM(Q430,G430,H430,D430,E430)</f>
        <v/>
      </c>
      <c r="S430">
        <f>SUM(R430,I430,J430,K430,L430)</f>
        <v/>
      </c>
      <c r="T430">
        <f>IF(R430=0, -1, Q430/R430)</f>
        <v/>
      </c>
      <c r="U430">
        <f>IF(S430=0, -1, Q430/S430)</f>
        <v/>
      </c>
      <c r="V430">
        <f>IF(S430=0, -1, R430/S430)</f>
        <v/>
      </c>
    </row>
    <row r="431">
      <c r="A431" t="inlineStr">
        <is>
          <t>RC00249</t>
        </is>
      </c>
      <c r="B431" t="inlineStr">
        <is>
          <t>辽宁工程技术大学</t>
        </is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282.9172165550797</v>
      </c>
      <c r="N431" t="n">
        <v>3.465735902799727</v>
      </c>
      <c r="O431">
        <f>IF(N431=0, 0, M431/N431)</f>
        <v/>
      </c>
      <c r="P431">
        <f>RANK(O431, O$2:O$518, 0)</f>
        <v/>
      </c>
      <c r="Q431">
        <f>SUM(C431,F431)</f>
        <v/>
      </c>
      <c r="R431">
        <f>SUM(Q431,G431,H431,D431,E431)</f>
        <v/>
      </c>
      <c r="S431">
        <f>SUM(R431,I431,J431,K431,L431)</f>
        <v/>
      </c>
      <c r="T431">
        <f>IF(R431=0, -1, Q431/R431)</f>
        <v/>
      </c>
      <c r="U431">
        <f>IF(S431=0, -1, Q431/S431)</f>
        <v/>
      </c>
      <c r="V431">
        <f>IF(S431=0, -1, R431/S431)</f>
        <v/>
      </c>
    </row>
    <row r="432">
      <c r="A432" t="inlineStr">
        <is>
          <t>RC00758</t>
        </is>
      </c>
      <c r="B432" t="inlineStr">
        <is>
          <t>甘肃农业大学</t>
        </is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1</v>
      </c>
      <c r="J432" t="n">
        <v>1</v>
      </c>
      <c r="K432" t="n">
        <v>1</v>
      </c>
      <c r="L432" t="n">
        <v>1</v>
      </c>
      <c r="M432" t="n">
        <v>2137.497612291997</v>
      </c>
      <c r="N432" t="n">
        <v>12.44250352797116</v>
      </c>
      <c r="O432">
        <f>IF(N432=0, 0, M432/N432)</f>
        <v/>
      </c>
      <c r="P432">
        <f>RANK(O432, O$2:O$518, 0)</f>
        <v/>
      </c>
      <c r="Q432">
        <f>SUM(C432,F432)</f>
        <v/>
      </c>
      <c r="R432">
        <f>SUM(Q432,G432,H432,D432,E432)</f>
        <v/>
      </c>
      <c r="S432">
        <f>SUM(R432,I432,J432,K432,L432)</f>
        <v/>
      </c>
      <c r="T432">
        <f>IF(R432=0, -1, Q432/R432)</f>
        <v/>
      </c>
      <c r="U432">
        <f>IF(S432=0, -1, Q432/S432)</f>
        <v/>
      </c>
      <c r="V432">
        <f>IF(S432=0, -1, R432/S432)</f>
        <v/>
      </c>
    </row>
    <row r="433">
      <c r="A433" t="inlineStr">
        <is>
          <t>RC00779</t>
        </is>
      </c>
      <c r="B433" t="inlineStr">
        <is>
          <t>新疆农业大学</t>
        </is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1</v>
      </c>
      <c r="K433" t="n">
        <v>0</v>
      </c>
      <c r="L433" t="n">
        <v>2</v>
      </c>
      <c r="M433" t="n">
        <v>893.587706299247</v>
      </c>
      <c r="N433" t="n">
        <v>9.373648989588206</v>
      </c>
      <c r="O433">
        <f>IF(N433=0, 0, M433/N433)</f>
        <v/>
      </c>
      <c r="P433">
        <f>RANK(O433, O$2:O$518, 0)</f>
        <v/>
      </c>
      <c r="Q433">
        <f>SUM(C433,F433)</f>
        <v/>
      </c>
      <c r="R433">
        <f>SUM(Q433,G433,H433,D433,E433)</f>
        <v/>
      </c>
      <c r="S433">
        <f>SUM(R433,I433,J433,K433,L433)</f>
        <v/>
      </c>
      <c r="T433">
        <f>IF(R433=0, -1, Q433/R433)</f>
        <v/>
      </c>
      <c r="U433">
        <f>IF(S433=0, -1, Q433/S433)</f>
        <v/>
      </c>
      <c r="V433">
        <f>IF(S433=0, -1, R433/S433)</f>
        <v/>
      </c>
    </row>
    <row r="434">
      <c r="A434" t="inlineStr">
        <is>
          <t>RC00258</t>
        </is>
      </c>
      <c r="B434" t="inlineStr">
        <is>
          <t>大连海洋大学</t>
        </is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717.3950902630097</v>
      </c>
      <c r="N434" t="n">
        <v>2.94443897916644</v>
      </c>
      <c r="O434">
        <f>IF(N434=0, 0, M434/N434)</f>
        <v/>
      </c>
      <c r="P434">
        <f>RANK(O434, O$2:O$518, 0)</f>
        <v/>
      </c>
      <c r="Q434">
        <f>SUM(C434,F434)</f>
        <v/>
      </c>
      <c r="R434">
        <f>SUM(Q434,G434,H434,D434,E434)</f>
        <v/>
      </c>
      <c r="S434">
        <f>SUM(R434,I434,J434,K434,L434)</f>
        <v/>
      </c>
      <c r="T434">
        <f>IF(R434=0, -1, Q434/R434)</f>
        <v/>
      </c>
      <c r="U434">
        <f>IF(S434=0, -1, Q434/S434)</f>
        <v/>
      </c>
      <c r="V434">
        <f>IF(S434=0, -1, R434/S434)</f>
        <v/>
      </c>
    </row>
    <row r="435">
      <c r="A435" t="inlineStr">
        <is>
          <t>RC00168</t>
        </is>
      </c>
      <c r="B435" t="inlineStr">
        <is>
          <t>天津农学院</t>
        </is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232.8934785781365</v>
      </c>
      <c r="N435" t="n">
        <v>2.94443897916644</v>
      </c>
      <c r="O435">
        <f>IF(N435=0, 0, M435/N435)</f>
        <v/>
      </c>
      <c r="P435">
        <f>RANK(O435, O$2:O$518, 0)</f>
        <v/>
      </c>
      <c r="Q435">
        <f>SUM(C435,F435)</f>
        <v/>
      </c>
      <c r="R435">
        <f>SUM(Q435,G435,H435,D435,E435)</f>
        <v/>
      </c>
      <c r="S435">
        <f>SUM(R435,I435,J435,K435,L435)</f>
        <v/>
      </c>
      <c r="T435">
        <f>IF(R435=0, -1, Q435/R435)</f>
        <v/>
      </c>
      <c r="U435">
        <f>IF(S435=0, -1, Q435/S435)</f>
        <v/>
      </c>
      <c r="V435">
        <f>IF(S435=0, -1, R435/S435)</f>
        <v/>
      </c>
    </row>
    <row r="436">
      <c r="A436" t="inlineStr">
        <is>
          <t>RC00114</t>
        </is>
      </c>
      <c r="B436" t="inlineStr">
        <is>
          <t>河北医科大学</t>
        </is>
      </c>
      <c r="C436" t="n">
        <v>0</v>
      </c>
      <c r="D436" t="n">
        <v>0</v>
      </c>
      <c r="E436" t="n">
        <v>1</v>
      </c>
      <c r="F436" t="n">
        <v>0</v>
      </c>
      <c r="G436" t="n">
        <v>0</v>
      </c>
      <c r="H436" t="n">
        <v>0</v>
      </c>
      <c r="I436" t="n">
        <v>1</v>
      </c>
      <c r="J436" t="n">
        <v>3</v>
      </c>
      <c r="K436" t="n">
        <v>0</v>
      </c>
      <c r="L436" t="n">
        <v>1</v>
      </c>
      <c r="M436" t="n">
        <v>3939.296146425811</v>
      </c>
      <c r="N436" t="n">
        <v>21.39051904357034</v>
      </c>
      <c r="O436">
        <f>IF(N436=0, 0, M436/N436)</f>
        <v/>
      </c>
      <c r="P436">
        <f>RANK(O436, O$2:O$518, 0)</f>
        <v/>
      </c>
      <c r="Q436">
        <f>SUM(C436,F436)</f>
        <v/>
      </c>
      <c r="R436">
        <f>SUM(Q436,G436,H436,D436,E436)</f>
        <v/>
      </c>
      <c r="S436">
        <f>SUM(R436,I436,J436,K436,L436)</f>
        <v/>
      </c>
      <c r="T436">
        <f>IF(R436=0, -1, Q436/R436)</f>
        <v/>
      </c>
      <c r="U436">
        <f>IF(S436=0, -1, Q436/S436)</f>
        <v/>
      </c>
      <c r="V436">
        <f>IF(S436=0, -1, R436/S436)</f>
        <v/>
      </c>
    </row>
    <row r="437">
      <c r="A437" t="inlineStr">
        <is>
          <t>RC00215</t>
        </is>
      </c>
      <c r="B437" t="inlineStr">
        <is>
          <t>山西医科大学</t>
        </is>
      </c>
      <c r="C437" t="n">
        <v>1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3</v>
      </c>
      <c r="K437" t="n">
        <v>1</v>
      </c>
      <c r="L437" t="n">
        <v>0</v>
      </c>
      <c r="M437" t="n">
        <v>4816.535226953224</v>
      </c>
      <c r="N437" t="n">
        <v>17.95788308919696</v>
      </c>
      <c r="O437">
        <f>IF(N437=0, 0, M437/N437)</f>
        <v/>
      </c>
      <c r="P437">
        <f>RANK(O437, O$2:O$518, 0)</f>
        <v/>
      </c>
      <c r="Q437">
        <f>SUM(C437,F437)</f>
        <v/>
      </c>
      <c r="R437">
        <f>SUM(Q437,G437,H437,D437,E437)</f>
        <v/>
      </c>
      <c r="S437">
        <f>SUM(R437,I437,J437,K437,L437)</f>
        <v/>
      </c>
      <c r="T437">
        <f>IF(R437=0, -1, Q437/R437)</f>
        <v/>
      </c>
      <c r="U437">
        <f>IF(S437=0, -1, Q437/S437)</f>
        <v/>
      </c>
      <c r="V437">
        <f>IF(S437=0, -1, R437/S437)</f>
        <v/>
      </c>
    </row>
    <row r="438">
      <c r="A438" t="inlineStr">
        <is>
          <t>RC00623</t>
        </is>
      </c>
      <c r="B438" t="inlineStr">
        <is>
          <t>广西医科大学</t>
        </is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1</v>
      </c>
      <c r="K438" t="n">
        <v>3</v>
      </c>
      <c r="L438" t="n">
        <v>1</v>
      </c>
      <c r="M438" t="n">
        <v>1969.77641647684</v>
      </c>
      <c r="N438" t="n">
        <v>19.60654171478433</v>
      </c>
      <c r="O438">
        <f>IF(N438=0, 0, M438/N438)</f>
        <v/>
      </c>
      <c r="P438">
        <f>RANK(O438, O$2:O$518, 0)</f>
        <v/>
      </c>
      <c r="Q438">
        <f>SUM(C438,F438)</f>
        <v/>
      </c>
      <c r="R438">
        <f>SUM(Q438,G438,H438,D438,E438)</f>
        <v/>
      </c>
      <c r="S438">
        <f>SUM(R438,I438,J438,K438,L438)</f>
        <v/>
      </c>
      <c r="T438">
        <f>IF(R438=0, -1, Q438/R438)</f>
        <v/>
      </c>
      <c r="U438">
        <f>IF(S438=0, -1, Q438/S438)</f>
        <v/>
      </c>
      <c r="V438">
        <f>IF(S438=0, -1, R438/S438)</f>
        <v/>
      </c>
    </row>
    <row r="439">
      <c r="A439" t="inlineStr">
        <is>
          <t>RC00781</t>
        </is>
      </c>
      <c r="B439" t="inlineStr">
        <is>
          <t>新疆医科大学</t>
        </is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3</v>
      </c>
      <c r="L439" t="n">
        <v>3</v>
      </c>
      <c r="M439" t="n">
        <v>1537.292089210323</v>
      </c>
      <c r="N439" t="n">
        <v>21.39051904357034</v>
      </c>
      <c r="O439">
        <f>IF(N439=0, 0, M439/N439)</f>
        <v/>
      </c>
      <c r="P439">
        <f>RANK(O439, O$2:O$518, 0)</f>
        <v/>
      </c>
      <c r="Q439">
        <f>SUM(C439,F439)</f>
        <v/>
      </c>
      <c r="R439">
        <f>SUM(Q439,G439,H439,D439,E439)</f>
        <v/>
      </c>
      <c r="S439">
        <f>SUM(R439,I439,J439,K439,L439)</f>
        <v/>
      </c>
      <c r="T439">
        <f>IF(R439=0, -1, Q439/R439)</f>
        <v/>
      </c>
      <c r="U439">
        <f>IF(S439=0, -1, Q439/S439)</f>
        <v/>
      </c>
      <c r="V439">
        <f>IF(S439=0, -1, R439/S439)</f>
        <v/>
      </c>
    </row>
    <row r="440">
      <c r="A440" t="inlineStr">
        <is>
          <t>RC00775</t>
        </is>
      </c>
      <c r="B440" t="inlineStr">
        <is>
          <t>宁夏医科大学</t>
        </is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2</v>
      </c>
      <c r="L440" t="n">
        <v>0</v>
      </c>
      <c r="M440" t="n">
        <v>745.8583568819636</v>
      </c>
      <c r="N440" t="n">
        <v>8.205218426395412</v>
      </c>
      <c r="O440">
        <f>IF(N440=0, 0, M440/N440)</f>
        <v/>
      </c>
      <c r="P440">
        <f>RANK(O440, O$2:O$518, 0)</f>
        <v/>
      </c>
      <c r="Q440">
        <f>SUM(C440,F440)</f>
        <v/>
      </c>
      <c r="R440">
        <f>SUM(Q440,G440,H440,D440,E440)</f>
        <v/>
      </c>
      <c r="S440">
        <f>SUM(R440,I440,J440,K440,L440)</f>
        <v/>
      </c>
      <c r="T440">
        <f>IF(R440=0, -1, Q440/R440)</f>
        <v/>
      </c>
      <c r="U440">
        <f>IF(S440=0, -1, Q440/S440)</f>
        <v/>
      </c>
      <c r="V440">
        <f>IF(S440=0, -1, R440/S440)</f>
        <v/>
      </c>
    </row>
    <row r="441">
      <c r="A441" t="inlineStr">
        <is>
          <t>RC00643</t>
        </is>
      </c>
      <c r="B441" t="inlineStr">
        <is>
          <t>海南医科大学</t>
        </is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2</v>
      </c>
      <c r="L441" t="n">
        <v>1</v>
      </c>
      <c r="M441" t="n">
        <v>927.4677519314864</v>
      </c>
      <c r="N441" t="n">
        <v>12.58724506106929</v>
      </c>
      <c r="O441">
        <f>IF(N441=0, 0, M441/N441)</f>
        <v/>
      </c>
      <c r="P441">
        <f>RANK(O441, O$2:O$518, 0)</f>
        <v/>
      </c>
      <c r="Q441">
        <f>SUM(C441,F441)</f>
        <v/>
      </c>
      <c r="R441">
        <f>SUM(Q441,G441,H441,D441,E441)</f>
        <v/>
      </c>
      <c r="S441">
        <f>SUM(R441,I441,J441,K441,L441)</f>
        <v/>
      </c>
      <c r="T441">
        <f>IF(R441=0, -1, Q441/R441)</f>
        <v/>
      </c>
      <c r="U441">
        <f>IF(S441=0, -1, Q441/S441)</f>
        <v/>
      </c>
      <c r="V441">
        <f>IF(S441=0, -1, R441/S441)</f>
        <v/>
      </c>
    </row>
    <row r="442">
      <c r="A442" t="inlineStr">
        <is>
          <t>RC00351</t>
        </is>
      </c>
      <c r="B442" t="inlineStr">
        <is>
          <t>徐州医科大学</t>
        </is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2</v>
      </c>
      <c r="L442" t="n">
        <v>1</v>
      </c>
      <c r="M442" t="n">
        <v>907.705186025648</v>
      </c>
      <c r="N442" t="n">
        <v>12.58724506106929</v>
      </c>
      <c r="O442">
        <f>IF(N442=0, 0, M442/N442)</f>
        <v/>
      </c>
      <c r="P442">
        <f>RANK(O442, O$2:O$518, 0)</f>
        <v/>
      </c>
      <c r="Q442">
        <f>SUM(C442,F442)</f>
        <v/>
      </c>
      <c r="R442">
        <f>SUM(Q442,G442,H442,D442,E442)</f>
        <v/>
      </c>
      <c r="S442">
        <f>SUM(R442,I442,J442,K442,L442)</f>
        <v/>
      </c>
      <c r="T442">
        <f>IF(R442=0, -1, Q442/R442)</f>
        <v/>
      </c>
      <c r="U442">
        <f>IF(S442=0, -1, Q442/S442)</f>
        <v/>
      </c>
      <c r="V442">
        <f>IF(S442=0, -1, R442/S442)</f>
        <v/>
      </c>
    </row>
    <row r="443">
      <c r="A443" t="inlineStr">
        <is>
          <t>RC01246</t>
        </is>
      </c>
      <c r="B443" t="inlineStr">
        <is>
          <t>杭州医学院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2</v>
      </c>
      <c r="M443" t="n">
        <v>500.5926772825446</v>
      </c>
      <c r="N443" t="n">
        <v>8.492900498847192</v>
      </c>
      <c r="O443">
        <f>IF(N443=0, 0, M443/N443)</f>
        <v/>
      </c>
      <c r="P443">
        <f>RANK(O443, O$2:O$518, 0)</f>
        <v/>
      </c>
      <c r="Q443">
        <f>SUM(C443,F443)</f>
        <v/>
      </c>
      <c r="R443">
        <f>SUM(Q443,G443,H443,D443,E443)</f>
        <v/>
      </c>
      <c r="S443">
        <f>SUM(R443,I443,J443,K443,L443)</f>
        <v/>
      </c>
      <c r="T443">
        <f>IF(R443=0, -1, Q443/R443)</f>
        <v/>
      </c>
      <c r="U443">
        <f>IF(S443=0, -1, Q443/S443)</f>
        <v/>
      </c>
      <c r="V443">
        <f>IF(S443=0, -1, R443/S443)</f>
        <v/>
      </c>
    </row>
    <row r="444">
      <c r="A444" t="inlineStr">
        <is>
          <t>RC00667</t>
        </is>
      </c>
      <c r="B444" t="inlineStr">
        <is>
          <t>西南医科大学</t>
        </is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2</v>
      </c>
      <c r="M444" t="n">
        <v>369.2838709347523</v>
      </c>
      <c r="N444" t="n">
        <v>8.205218426395412</v>
      </c>
      <c r="O444">
        <f>IF(N444=0, 0, M444/N444)</f>
        <v/>
      </c>
      <c r="P444">
        <f>RANK(O444, O$2:O$518, 0)</f>
        <v/>
      </c>
      <c r="Q444">
        <f>SUM(C444,F444)</f>
        <v/>
      </c>
      <c r="R444">
        <f>SUM(Q444,G444,H444,D444,E444)</f>
        <v/>
      </c>
      <c r="S444">
        <f>SUM(R444,I444,J444,K444,L444)</f>
        <v/>
      </c>
      <c r="T444">
        <f>IF(R444=0, -1, Q444/R444)</f>
        <v/>
      </c>
      <c r="U444">
        <f>IF(S444=0, -1, Q444/S444)</f>
        <v/>
      </c>
      <c r="V444">
        <f>IF(S444=0, -1, R444/S444)</f>
        <v/>
      </c>
    </row>
    <row r="445">
      <c r="A445" t="inlineStr">
        <is>
          <t>RC00594</t>
        </is>
      </c>
      <c r="B445" t="inlineStr">
        <is>
          <t>广东医科大学</t>
        </is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3</v>
      </c>
      <c r="M445" t="n">
        <v>711.0850648127539</v>
      </c>
      <c r="N445" t="n">
        <v>12.23757131258954</v>
      </c>
      <c r="O445">
        <f>IF(N445=0, 0, M445/N445)</f>
        <v/>
      </c>
      <c r="P445">
        <f>RANK(O445, O$2:O$518, 0)</f>
        <v/>
      </c>
      <c r="Q445">
        <f>SUM(C445,F445)</f>
        <v/>
      </c>
      <c r="R445">
        <f>SUM(Q445,G445,H445,D445,E445)</f>
        <v/>
      </c>
      <c r="S445">
        <f>SUM(R445,I445,J445,K445,L445)</f>
        <v/>
      </c>
      <c r="T445">
        <f>IF(R445=0, -1, Q445/R445)</f>
        <v/>
      </c>
      <c r="U445">
        <f>IF(S445=0, -1, Q445/S445)</f>
        <v/>
      </c>
      <c r="V445">
        <f>IF(S445=0, -1, R445/S445)</f>
        <v/>
      </c>
    </row>
    <row r="446">
      <c r="A446" t="inlineStr">
        <is>
          <t>RC00686</t>
        </is>
      </c>
      <c r="B446" t="inlineStr">
        <is>
          <t>成都医学院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164.7460542846624</v>
      </c>
      <c r="N446" t="n">
        <v>4.0943445622221</v>
      </c>
      <c r="O446">
        <f>IF(N446=0, 0, M446/N446)</f>
        <v/>
      </c>
      <c r="P446">
        <f>RANK(O446, O$2:O$518, 0)</f>
        <v/>
      </c>
      <c r="Q446">
        <f>SUM(C446,F446)</f>
        <v/>
      </c>
      <c r="R446">
        <f>SUM(Q446,G446,H446,D446,E446)</f>
        <v/>
      </c>
      <c r="S446">
        <f>SUM(R446,I446,J446,K446,L446)</f>
        <v/>
      </c>
      <c r="T446">
        <f>IF(R446=0, -1, Q446/R446)</f>
        <v/>
      </c>
      <c r="U446">
        <f>IF(S446=0, -1, Q446/S446)</f>
        <v/>
      </c>
      <c r="V446">
        <f>IF(S446=0, -1, R446/S446)</f>
        <v/>
      </c>
    </row>
    <row r="447">
      <c r="A447" t="inlineStr">
        <is>
          <t>RC00595</t>
        </is>
      </c>
      <c r="B447" t="inlineStr">
        <is>
          <t>广州中医药大学</t>
        </is>
      </c>
      <c r="C447" t="n">
        <v>0</v>
      </c>
      <c r="D447" t="n">
        <v>1</v>
      </c>
      <c r="E447" t="n">
        <v>0</v>
      </c>
      <c r="F447" t="n">
        <v>0</v>
      </c>
      <c r="G447" t="n">
        <v>1</v>
      </c>
      <c r="H447" t="n">
        <v>0</v>
      </c>
      <c r="I447" t="n">
        <v>2</v>
      </c>
      <c r="J447" t="n">
        <v>0</v>
      </c>
      <c r="K447" t="n">
        <v>0</v>
      </c>
      <c r="L447" t="n">
        <v>1</v>
      </c>
      <c r="M447" t="n">
        <v>6466.895459589035</v>
      </c>
      <c r="N447" t="n">
        <v>18.28246640342346</v>
      </c>
      <c r="O447">
        <f>IF(N447=0, 0, M447/N447)</f>
        <v/>
      </c>
      <c r="P447">
        <f>RANK(O447, O$2:O$518, 0)</f>
        <v/>
      </c>
      <c r="Q447">
        <f>SUM(C447,F447)</f>
        <v/>
      </c>
      <c r="R447">
        <f>SUM(Q447,G447,H447,D447,E447)</f>
        <v/>
      </c>
      <c r="S447">
        <f>SUM(R447,I447,J447,K447,L447)</f>
        <v/>
      </c>
      <c r="T447">
        <f>IF(R447=0, -1, Q447/R447)</f>
        <v/>
      </c>
      <c r="U447">
        <f>IF(S447=0, -1, Q447/S447)</f>
        <v/>
      </c>
      <c r="V447">
        <f>IF(S447=0, -1, R447/S447)</f>
        <v/>
      </c>
    </row>
    <row r="448">
      <c r="A448" t="inlineStr">
        <is>
          <t>RC00474</t>
        </is>
      </c>
      <c r="B448" t="inlineStr">
        <is>
          <t>滨州医学院</t>
        </is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3</v>
      </c>
      <c r="M448" t="n">
        <v>626.1872768345802</v>
      </c>
      <c r="N448" t="n">
        <v>12.16525065100992</v>
      </c>
      <c r="O448">
        <f>IF(N448=0, 0, M448/N448)</f>
        <v/>
      </c>
      <c r="P448">
        <f>RANK(O448, O$2:O$518, 0)</f>
        <v/>
      </c>
      <c r="Q448">
        <f>SUM(C448,F448)</f>
        <v/>
      </c>
      <c r="R448">
        <f>SUM(Q448,G448,H448,D448,E448)</f>
        <v/>
      </c>
      <c r="S448">
        <f>SUM(R448,I448,J448,K448,L448)</f>
        <v/>
      </c>
      <c r="T448">
        <f>IF(R448=0, -1, Q448/R448)</f>
        <v/>
      </c>
      <c r="U448">
        <f>IF(S448=0, -1, Q448/S448)</f>
        <v/>
      </c>
      <c r="V448">
        <f>IF(S448=0, -1, R448/S448)</f>
        <v/>
      </c>
    </row>
    <row r="449">
      <c r="A449" t="inlineStr">
        <is>
          <t>RC00472</t>
        </is>
      </c>
      <c r="B449" t="inlineStr">
        <is>
          <t>山东第二医科大学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2</v>
      </c>
      <c r="M449" t="n">
        <v>346.4975530261228</v>
      </c>
      <c r="N449" t="n">
        <v>8.476371196895983</v>
      </c>
      <c r="O449">
        <f>IF(N449=0, 0, M449/N449)</f>
        <v/>
      </c>
      <c r="P449">
        <f>RANK(O449, O$2:O$518, 0)</f>
        <v/>
      </c>
      <c r="Q449">
        <f>SUM(C449,F449)</f>
        <v/>
      </c>
      <c r="R449">
        <f>SUM(Q449,G449,H449,D449,E449)</f>
        <v/>
      </c>
      <c r="S449">
        <f>SUM(R449,I449,J449,K449,L449)</f>
        <v/>
      </c>
      <c r="T449">
        <f>IF(R449=0, -1, Q449/R449)</f>
        <v/>
      </c>
      <c r="U449">
        <f>IF(S449=0, -1, Q449/S449)</f>
        <v/>
      </c>
      <c r="V449">
        <f>IF(S449=0, -1, R449/S449)</f>
        <v/>
      </c>
    </row>
    <row r="450">
      <c r="A450" t="inlineStr">
        <is>
          <t>RC00596</t>
        </is>
      </c>
      <c r="B450" t="inlineStr">
        <is>
          <t>广东药科大学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</v>
      </c>
      <c r="I450" t="n">
        <v>0</v>
      </c>
      <c r="J450" t="n">
        <v>1</v>
      </c>
      <c r="K450" t="n">
        <v>0</v>
      </c>
      <c r="L450" t="n">
        <v>1</v>
      </c>
      <c r="M450" t="n">
        <v>2164.156454994267</v>
      </c>
      <c r="N450" t="n">
        <v>11.60896265316717</v>
      </c>
      <c r="O450">
        <f>IF(N450=0, 0, M450/N450)</f>
        <v/>
      </c>
      <c r="P450">
        <f>RANK(O450, O$2:O$518, 0)</f>
        <v/>
      </c>
      <c r="Q450">
        <f>SUM(C450,F450)</f>
        <v/>
      </c>
      <c r="R450">
        <f>SUM(Q450,G450,H450,D450,E450)</f>
        <v/>
      </c>
      <c r="S450">
        <f>SUM(R450,I450,J450,K450,L450)</f>
        <v/>
      </c>
      <c r="T450">
        <f>IF(R450=0, -1, Q450/R450)</f>
        <v/>
      </c>
      <c r="U450">
        <f>IF(S450=0, -1, Q450/S450)</f>
        <v/>
      </c>
      <c r="V450">
        <f>IF(S450=0, -1, R450/S450)</f>
        <v/>
      </c>
    </row>
    <row r="451">
      <c r="A451" t="inlineStr">
        <is>
          <t>RC00113</t>
        </is>
      </c>
      <c r="B451" t="inlineStr">
        <is>
          <t>北京中医药大学</t>
        </is>
      </c>
      <c r="C451" t="n">
        <v>2</v>
      </c>
      <c r="D451" t="n">
        <v>0</v>
      </c>
      <c r="E451" t="n">
        <v>0</v>
      </c>
      <c r="F451" t="n">
        <v>0</v>
      </c>
      <c r="G451" t="n">
        <v>0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8603.300100827579</v>
      </c>
      <c r="N451" t="n">
        <v>14.18812184120136</v>
      </c>
      <c r="O451">
        <f>IF(N451=0, 0, M451/N451)</f>
        <v/>
      </c>
      <c r="P451">
        <f>RANK(O451, O$2:O$518, 0)</f>
        <v/>
      </c>
      <c r="Q451">
        <f>SUM(C451,F451)</f>
        <v/>
      </c>
      <c r="R451">
        <f>SUM(Q451,G451,H451,D451,E451)</f>
        <v/>
      </c>
      <c r="S451">
        <f>SUM(R451,I451,J451,K451,L451)</f>
        <v/>
      </c>
      <c r="T451">
        <f>IF(R451=0, -1, Q451/R451)</f>
        <v/>
      </c>
      <c r="U451">
        <f>IF(S451=0, -1, Q451/S451)</f>
        <v/>
      </c>
      <c r="V451">
        <f>IF(S451=0, -1, R451/S451)</f>
        <v/>
      </c>
    </row>
    <row r="452">
      <c r="A452" t="inlineStr">
        <is>
          <t>RC00332</t>
        </is>
      </c>
      <c r="B452" t="inlineStr">
        <is>
          <t>上海中医药大学</t>
        </is>
      </c>
      <c r="C452" t="n">
        <v>2</v>
      </c>
      <c r="D452" t="n">
        <v>0</v>
      </c>
      <c r="E452" t="n">
        <v>0</v>
      </c>
      <c r="F452" t="n">
        <v>0</v>
      </c>
      <c r="G452" t="n">
        <v>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8207.335611924909</v>
      </c>
      <c r="N452" t="n">
        <v>14.18812184120136</v>
      </c>
      <c r="O452">
        <f>IF(N452=0, 0, M452/N452)</f>
        <v/>
      </c>
      <c r="P452">
        <f>RANK(O452, O$2:O$518, 0)</f>
        <v/>
      </c>
      <c r="Q452">
        <f>SUM(C452,F452)</f>
        <v/>
      </c>
      <c r="R452">
        <f>SUM(Q452,G452,H452,D452,E452)</f>
        <v/>
      </c>
      <c r="S452">
        <f>SUM(R452,I452,J452,K452,L452)</f>
        <v/>
      </c>
      <c r="T452">
        <f>IF(R452=0, -1, Q452/R452)</f>
        <v/>
      </c>
      <c r="U452">
        <f>IF(S452=0, -1, Q452/S452)</f>
        <v/>
      </c>
      <c r="V452">
        <f>IF(S452=0, -1, R452/S452)</f>
        <v/>
      </c>
    </row>
    <row r="453">
      <c r="A453" t="inlineStr">
        <is>
          <t>RC00668</t>
        </is>
      </c>
      <c r="B453" t="inlineStr">
        <is>
          <t>成都中医药大学</t>
        </is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2</v>
      </c>
      <c r="I453" t="n">
        <v>0</v>
      </c>
      <c r="J453" t="n">
        <v>1</v>
      </c>
      <c r="K453" t="n">
        <v>0</v>
      </c>
      <c r="L453" t="n">
        <v>0</v>
      </c>
      <c r="M453" t="n">
        <v>4590.243915224066</v>
      </c>
      <c r="N453" t="n">
        <v>9.806095206527479</v>
      </c>
      <c r="O453">
        <f>IF(N453=0, 0, M453/N453)</f>
        <v/>
      </c>
      <c r="P453">
        <f>RANK(O453, O$2:O$518, 0)</f>
        <v/>
      </c>
      <c r="Q453">
        <f>SUM(C453,F453)</f>
        <v/>
      </c>
      <c r="R453">
        <f>SUM(Q453,G453,H453,D453,E453)</f>
        <v/>
      </c>
      <c r="S453">
        <f>SUM(R453,I453,J453,K453,L453)</f>
        <v/>
      </c>
      <c r="T453">
        <f>IF(R453=0, -1, Q453/R453)</f>
        <v/>
      </c>
      <c r="U453">
        <f>IF(S453=0, -1, Q453/S453)</f>
        <v/>
      </c>
      <c r="V453">
        <f>IF(S453=0, -1, R453/S453)</f>
        <v/>
      </c>
    </row>
    <row r="454">
      <c r="A454" t="inlineStr">
        <is>
          <t>RC00379</t>
        </is>
      </c>
      <c r="B454" t="inlineStr">
        <is>
          <t>浙江中医药大学</t>
        </is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2</v>
      </c>
      <c r="J454" t="n">
        <v>0</v>
      </c>
      <c r="K454" t="n">
        <v>1</v>
      </c>
      <c r="L454" t="n">
        <v>0</v>
      </c>
      <c r="M454" t="n">
        <v>3023.301003722197</v>
      </c>
      <c r="N454" t="n">
        <v>10.72238593840163</v>
      </c>
      <c r="O454">
        <f>IF(N454=0, 0, M454/N454)</f>
        <v/>
      </c>
      <c r="P454">
        <f>RANK(O454, O$2:O$518, 0)</f>
        <v/>
      </c>
      <c r="Q454">
        <f>SUM(C454,F454)</f>
        <v/>
      </c>
      <c r="R454">
        <f>SUM(Q454,G454,H454,D454,E454)</f>
        <v/>
      </c>
      <c r="S454">
        <f>SUM(R454,I454,J454,K454,L454)</f>
        <v/>
      </c>
      <c r="T454">
        <f>IF(R454=0, -1, Q454/R454)</f>
        <v/>
      </c>
      <c r="U454">
        <f>IF(S454=0, -1, Q454/S454)</f>
        <v/>
      </c>
      <c r="V454">
        <f>IF(S454=0, -1, R454/S454)</f>
        <v/>
      </c>
    </row>
    <row r="455">
      <c r="A455" t="inlineStr">
        <is>
          <t>RC00352</t>
        </is>
      </c>
      <c r="B455" t="inlineStr">
        <is>
          <t>南京中医药大学</t>
        </is>
      </c>
      <c r="C455" t="n">
        <v>1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2</v>
      </c>
      <c r="J455" t="n">
        <v>2</v>
      </c>
      <c r="K455" t="n">
        <v>0</v>
      </c>
      <c r="L455" t="n">
        <v>0</v>
      </c>
      <c r="M455" t="n">
        <v>6571.450074749663</v>
      </c>
      <c r="N455" t="n">
        <v>17.8770012953153</v>
      </c>
      <c r="O455">
        <f>IF(N455=0, 0, M455/N455)</f>
        <v/>
      </c>
      <c r="P455">
        <f>RANK(O455, O$2:O$518, 0)</f>
        <v/>
      </c>
      <c r="Q455">
        <f>SUM(C455,F455)</f>
        <v/>
      </c>
      <c r="R455">
        <f>SUM(Q455,G455,H455,D455,E455)</f>
        <v/>
      </c>
      <c r="S455">
        <f>SUM(R455,I455,J455,K455,L455)</f>
        <v/>
      </c>
      <c r="T455">
        <f>IF(R455=0, -1, Q455/R455)</f>
        <v/>
      </c>
      <c r="U455">
        <f>IF(S455=0, -1, Q455/S455)</f>
        <v/>
      </c>
      <c r="V455">
        <f>IF(S455=0, -1, R455/S455)</f>
        <v/>
      </c>
    </row>
    <row r="456">
      <c r="A456" t="inlineStr">
        <is>
          <t>RC00169</t>
        </is>
      </c>
      <c r="B456" t="inlineStr">
        <is>
          <t>天津中医药大学</t>
        </is>
      </c>
      <c r="C456" t="n">
        <v>1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1</v>
      </c>
      <c r="J456" t="n">
        <v>0</v>
      </c>
      <c r="K456" t="n">
        <v>1</v>
      </c>
      <c r="L456" t="n">
        <v>1</v>
      </c>
      <c r="M456" t="n">
        <v>5209.590237471005</v>
      </c>
      <c r="N456" t="n">
        <v>14.18812184120136</v>
      </c>
      <c r="O456">
        <f>IF(N456=0, 0, M456/N456)</f>
        <v/>
      </c>
      <c r="P456">
        <f>RANK(O456, O$2:O$518, 0)</f>
        <v/>
      </c>
      <c r="Q456">
        <f>SUM(C456,F456)</f>
        <v/>
      </c>
      <c r="R456">
        <f>SUM(Q456,G456,H456,D456,E456)</f>
        <v/>
      </c>
      <c r="S456">
        <f>SUM(R456,I456,J456,K456,L456)</f>
        <v/>
      </c>
      <c r="T456">
        <f>IF(R456=0, -1, Q456/R456)</f>
        <v/>
      </c>
      <c r="U456">
        <f>IF(S456=0, -1, Q456/S456)</f>
        <v/>
      </c>
      <c r="V456">
        <f>IF(S456=0, -1, R456/S456)</f>
        <v/>
      </c>
    </row>
    <row r="457">
      <c r="A457" t="inlineStr">
        <is>
          <t>RC00475</t>
        </is>
      </c>
      <c r="B457" t="inlineStr">
        <is>
          <t>山东中医药大学</t>
        </is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1</v>
      </c>
      <c r="J457" t="n">
        <v>1</v>
      </c>
      <c r="K457" t="n">
        <v>1</v>
      </c>
      <c r="L457" t="n">
        <v>1</v>
      </c>
      <c r="M457" t="n">
        <v>2335.454035440407</v>
      </c>
      <c r="N457" t="n">
        <v>14.18812184120136</v>
      </c>
      <c r="O457">
        <f>IF(N457=0, 0, M457/N457)</f>
        <v/>
      </c>
      <c r="P457">
        <f>RANK(O457, O$2:O$518, 0)</f>
        <v/>
      </c>
      <c r="Q457">
        <f>SUM(C457,F457)</f>
        <v/>
      </c>
      <c r="R457">
        <f>SUM(Q457,G457,H457,D457,E457)</f>
        <v/>
      </c>
      <c r="S457">
        <f>SUM(R457,I457,J457,K457,L457)</f>
        <v/>
      </c>
      <c r="T457">
        <f>IF(R457=0, -1, Q457/R457)</f>
        <v/>
      </c>
      <c r="U457">
        <f>IF(S457=0, -1, Q457/S457)</f>
        <v/>
      </c>
      <c r="V457">
        <f>IF(S457=0, -1, R457/S457)</f>
        <v/>
      </c>
    </row>
    <row r="458">
      <c r="A458" t="inlineStr">
        <is>
          <t>RC00512</t>
        </is>
      </c>
      <c r="B458" t="inlineStr">
        <is>
          <t>河南中医药大学</t>
        </is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2</v>
      </c>
      <c r="K458" t="n">
        <v>1</v>
      </c>
      <c r="L458" t="n">
        <v>1</v>
      </c>
      <c r="M458" t="n">
        <v>2486.547586164682</v>
      </c>
      <c r="N458" t="n">
        <v>14.18812184120136</v>
      </c>
      <c r="O458">
        <f>IF(N458=0, 0, M458/N458)</f>
        <v/>
      </c>
      <c r="P458">
        <f>RANK(O458, O$2:O$518, 0)</f>
        <v/>
      </c>
      <c r="Q458">
        <f>SUM(C458,F458)</f>
        <v/>
      </c>
      <c r="R458">
        <f>SUM(Q458,G458,H458,D458,E458)</f>
        <v/>
      </c>
      <c r="S458">
        <f>SUM(R458,I458,J458,K458,L458)</f>
        <v/>
      </c>
      <c r="T458">
        <f>IF(R458=0, -1, Q458/R458)</f>
        <v/>
      </c>
      <c r="U458">
        <f>IF(S458=0, -1, Q458/S458)</f>
        <v/>
      </c>
      <c r="V458">
        <f>IF(S458=0, -1, R458/S458)</f>
        <v/>
      </c>
    </row>
    <row r="459">
      <c r="A459" t="inlineStr">
        <is>
          <t>RC00312</t>
        </is>
      </c>
      <c r="B459" t="inlineStr">
        <is>
          <t>黑龙江中医药大学</t>
        </is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2</v>
      </c>
      <c r="K459" t="n">
        <v>1</v>
      </c>
      <c r="L459" t="n">
        <v>0</v>
      </c>
      <c r="M459" t="n">
        <v>1999.37229099802</v>
      </c>
      <c r="N459" t="n">
        <v>9.806095206527479</v>
      </c>
      <c r="O459">
        <f>IF(N459=0, 0, M459/N459)</f>
        <v/>
      </c>
      <c r="P459">
        <f>RANK(O459, O$2:O$518, 0)</f>
        <v/>
      </c>
      <c r="Q459">
        <f>SUM(C459,F459)</f>
        <v/>
      </c>
      <c r="R459">
        <f>SUM(Q459,G459,H459,D459,E459)</f>
        <v/>
      </c>
      <c r="S459">
        <f>SUM(R459,I459,J459,K459,L459)</f>
        <v/>
      </c>
      <c r="T459">
        <f>IF(R459=0, -1, Q459/R459)</f>
        <v/>
      </c>
      <c r="U459">
        <f>IF(S459=0, -1, Q459/S459)</f>
        <v/>
      </c>
      <c r="V459">
        <f>IF(S459=0, -1, R459/S459)</f>
        <v/>
      </c>
    </row>
    <row r="460">
      <c r="A460" t="inlineStr">
        <is>
          <t>RC00288</t>
        </is>
      </c>
      <c r="B460" t="inlineStr">
        <is>
          <t>长春中医药大学</t>
        </is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1</v>
      </c>
      <c r="K460" t="n">
        <v>1</v>
      </c>
      <c r="L460" t="n">
        <v>0</v>
      </c>
      <c r="M460" t="n">
        <v>1248.795260501692</v>
      </c>
      <c r="N460" t="n">
        <v>6.340359303727752</v>
      </c>
      <c r="O460">
        <f>IF(N460=0, 0, M460/N460)</f>
        <v/>
      </c>
      <c r="P460">
        <f>RANK(O460, O$2:O$518, 0)</f>
        <v/>
      </c>
      <c r="Q460">
        <f>SUM(C460,F460)</f>
        <v/>
      </c>
      <c r="R460">
        <f>SUM(Q460,G460,H460,D460,E460)</f>
        <v/>
      </c>
      <c r="S460">
        <f>SUM(R460,I460,J460,K460,L460)</f>
        <v/>
      </c>
      <c r="T460">
        <f>IF(R460=0, -1, Q460/R460)</f>
        <v/>
      </c>
      <c r="U460">
        <f>IF(S460=0, -1, Q460/S460)</f>
        <v/>
      </c>
      <c r="V460">
        <f>IF(S460=0, -1, R460/S460)</f>
        <v/>
      </c>
    </row>
    <row r="461">
      <c r="A461" t="inlineStr">
        <is>
          <t>RC00542</t>
        </is>
      </c>
      <c r="B461" t="inlineStr">
        <is>
          <t>湖北中医药大学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1</v>
      </c>
      <c r="L461" t="n">
        <v>1</v>
      </c>
      <c r="M461" t="n">
        <v>857.5416982446156</v>
      </c>
      <c r="N461" t="n">
        <v>6.51025834052315</v>
      </c>
      <c r="O461">
        <f>IF(N461=0, 0, M461/N461)</f>
        <v/>
      </c>
      <c r="P461">
        <f>RANK(O461, O$2:O$518, 0)</f>
        <v/>
      </c>
      <c r="Q461">
        <f>SUM(C461,F461)</f>
        <v/>
      </c>
      <c r="R461">
        <f>SUM(Q461,G461,H461,D461,E461)</f>
        <v/>
      </c>
      <c r="S461">
        <f>SUM(R461,I461,J461,K461,L461)</f>
        <v/>
      </c>
      <c r="T461">
        <f>IF(R461=0, -1, Q461/R461)</f>
        <v/>
      </c>
      <c r="U461">
        <f>IF(S461=0, -1, Q461/S461)</f>
        <v/>
      </c>
      <c r="V461">
        <f>IF(S461=0, -1, R461/S461)</f>
        <v/>
      </c>
    </row>
    <row r="462">
      <c r="A462" t="inlineStr">
        <is>
          <t>RC00428</t>
        </is>
      </c>
      <c r="B462" t="inlineStr">
        <is>
          <t>福建中医药大学</t>
        </is>
      </c>
      <c r="C462" t="n">
        <v>0</v>
      </c>
      <c r="D462" t="n">
        <v>0</v>
      </c>
      <c r="E462" t="n">
        <v>0</v>
      </c>
      <c r="F462" t="n">
        <v>0</v>
      </c>
      <c r="G462" t="n">
        <v>1</v>
      </c>
      <c r="H462" t="n">
        <v>0</v>
      </c>
      <c r="I462" t="n">
        <v>0</v>
      </c>
      <c r="J462" t="n">
        <v>0</v>
      </c>
      <c r="K462" t="n">
        <v>1</v>
      </c>
      <c r="L462" t="n">
        <v>2</v>
      </c>
      <c r="M462" t="n">
        <v>3763.351476771184</v>
      </c>
      <c r="N462" t="n">
        <v>13.49497466064141</v>
      </c>
      <c r="O462">
        <f>IF(N462=0, 0, M462/N462)</f>
        <v/>
      </c>
      <c r="P462">
        <f>RANK(O462, O$2:O$518, 0)</f>
        <v/>
      </c>
      <c r="Q462">
        <f>SUM(C462,F462)</f>
        <v/>
      </c>
      <c r="R462">
        <f>SUM(Q462,G462,H462,D462,E462)</f>
        <v/>
      </c>
      <c r="S462">
        <f>SUM(R462,I462,J462,K462,L462)</f>
        <v/>
      </c>
      <c r="T462">
        <f>IF(R462=0, -1, Q462/R462)</f>
        <v/>
      </c>
      <c r="U462">
        <f>IF(S462=0, -1, Q462/S462)</f>
        <v/>
      </c>
      <c r="V462">
        <f>IF(S462=0, -1, R462/S462)</f>
        <v/>
      </c>
    </row>
    <row r="463">
      <c r="A463" t="inlineStr">
        <is>
          <t>RC00406</t>
        </is>
      </c>
      <c r="B463" t="inlineStr">
        <is>
          <t>安徽中医药大学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2</v>
      </c>
      <c r="K463" t="n">
        <v>1</v>
      </c>
      <c r="L463" t="n">
        <v>0</v>
      </c>
      <c r="M463" t="n">
        <v>1542.2255097269</v>
      </c>
      <c r="N463" t="n">
        <v>9.806095206527479</v>
      </c>
      <c r="O463">
        <f>IF(N463=0, 0, M463/N463)</f>
        <v/>
      </c>
      <c r="P463">
        <f>RANK(O463, O$2:O$518, 0)</f>
        <v/>
      </c>
      <c r="Q463">
        <f>SUM(C463,F463)</f>
        <v/>
      </c>
      <c r="R463">
        <f>SUM(Q463,G463,H463,D463,E463)</f>
        <v/>
      </c>
      <c r="S463">
        <f>SUM(R463,I463,J463,K463,L463)</f>
        <v/>
      </c>
      <c r="T463">
        <f>IF(R463=0, -1, Q463/R463)</f>
        <v/>
      </c>
      <c r="U463">
        <f>IF(S463=0, -1, Q463/S463)</f>
        <v/>
      </c>
      <c r="V463">
        <f>IF(S463=0, -1, R463/S463)</f>
        <v/>
      </c>
    </row>
    <row r="464">
      <c r="A464" t="inlineStr">
        <is>
          <t>RC00447</t>
        </is>
      </c>
      <c r="B464" t="inlineStr">
        <is>
          <t>江西中医药大学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</v>
      </c>
      <c r="I464" t="n">
        <v>0</v>
      </c>
      <c r="J464" t="n">
        <v>0</v>
      </c>
      <c r="K464" t="n">
        <v>0</v>
      </c>
      <c r="L464" t="n">
        <v>2</v>
      </c>
      <c r="M464" t="n">
        <v>2795.145251049803</v>
      </c>
      <c r="N464" t="n">
        <v>10.72238593840163</v>
      </c>
      <c r="O464">
        <f>IF(N464=0, 0, M464/N464)</f>
        <v/>
      </c>
      <c r="P464">
        <f>RANK(O464, O$2:O$518, 0)</f>
        <v/>
      </c>
      <c r="Q464">
        <f>SUM(C464,F464)</f>
        <v/>
      </c>
      <c r="R464">
        <f>SUM(Q464,G464,H464,D464,E464)</f>
        <v/>
      </c>
      <c r="S464">
        <f>SUM(R464,I464,J464,K464,L464)</f>
        <v/>
      </c>
      <c r="T464">
        <f>IF(R464=0, -1, Q464/R464)</f>
        <v/>
      </c>
      <c r="U464">
        <f>IF(S464=0, -1, Q464/S464)</f>
        <v/>
      </c>
      <c r="V464">
        <f>IF(S464=0, -1, R464/S464)</f>
        <v/>
      </c>
    </row>
    <row r="465">
      <c r="A465" t="inlineStr">
        <is>
          <t>RC00625</t>
        </is>
      </c>
      <c r="B465" t="inlineStr">
        <is>
          <t>广西中医药大学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1</v>
      </c>
      <c r="K465" t="n">
        <v>1</v>
      </c>
      <c r="L465" t="n">
        <v>1</v>
      </c>
      <c r="M465" t="n">
        <v>1207.266327329281</v>
      </c>
      <c r="N465" t="n">
        <v>9.806095206527479</v>
      </c>
      <c r="O465">
        <f>IF(N465=0, 0, M465/N465)</f>
        <v/>
      </c>
      <c r="P465">
        <f>RANK(O465, O$2:O$518, 0)</f>
        <v/>
      </c>
      <c r="Q465">
        <f>SUM(C465,F465)</f>
        <v/>
      </c>
      <c r="R465">
        <f>SUM(Q465,G465,H465,D465,E465)</f>
        <v/>
      </c>
      <c r="S465">
        <f>SUM(R465,I465,J465,K465,L465)</f>
        <v/>
      </c>
      <c r="T465">
        <f>IF(R465=0, -1, Q465/R465)</f>
        <v/>
      </c>
      <c r="U465">
        <f>IF(S465=0, -1, Q465/S465)</f>
        <v/>
      </c>
      <c r="V465">
        <f>IF(S465=0, -1, R465/S465)</f>
        <v/>
      </c>
    </row>
    <row r="466">
      <c r="A466" t="inlineStr">
        <is>
          <t>RC00225</t>
        </is>
      </c>
      <c r="B466" t="inlineStr">
        <is>
          <t>山西中医药大学</t>
        </is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293.8245473778252</v>
      </c>
      <c r="N466" t="n">
        <v>3.044522437723423</v>
      </c>
      <c r="O466">
        <f>IF(N466=0, 0, M466/N466)</f>
        <v/>
      </c>
      <c r="P466">
        <f>RANK(O466, O$2:O$518, 0)</f>
        <v/>
      </c>
      <c r="Q466">
        <f>SUM(C466,F466)</f>
        <v/>
      </c>
      <c r="R466">
        <f>SUM(Q466,G466,H466,D466,E466)</f>
        <v/>
      </c>
      <c r="S466">
        <f>SUM(R466,I466,J466,K466,L466)</f>
        <v/>
      </c>
      <c r="T466">
        <f>IF(R466=0, -1, Q466/R466)</f>
        <v/>
      </c>
      <c r="U466">
        <f>IF(S466=0, -1, Q466/S466)</f>
        <v/>
      </c>
      <c r="V466">
        <f>IF(S466=0, -1, R466/S466)</f>
        <v/>
      </c>
    </row>
    <row r="467">
      <c r="A467" t="inlineStr">
        <is>
          <t>RC00759</t>
        </is>
      </c>
      <c r="B467" t="inlineStr">
        <is>
          <t>甘肃中医药大学</t>
        </is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423.2959881282109</v>
      </c>
      <c r="N467" t="n">
        <v>3.465735902799727</v>
      </c>
      <c r="O467">
        <f>IF(N467=0, 0, M467/N467)</f>
        <v/>
      </c>
      <c r="P467">
        <f>RANK(O467, O$2:O$518, 0)</f>
        <v/>
      </c>
      <c r="Q467">
        <f>SUM(C467,F467)</f>
        <v/>
      </c>
      <c r="R467">
        <f>SUM(Q467,G467,H467,D467,E467)</f>
        <v/>
      </c>
      <c r="S467">
        <f>SUM(R467,I467,J467,K467,L467)</f>
        <v/>
      </c>
      <c r="T467">
        <f>IF(R467=0, -1, Q467/R467)</f>
        <v/>
      </c>
      <c r="U467">
        <f>IF(S467=0, -1, Q467/S467)</f>
        <v/>
      </c>
      <c r="V467">
        <f>IF(S467=0, -1, R467/S467)</f>
        <v/>
      </c>
    </row>
    <row r="468">
      <c r="A468" t="inlineStr">
        <is>
          <t>RC00210</t>
        </is>
      </c>
      <c r="B468" t="inlineStr">
        <is>
          <t>河北中医药大学</t>
        </is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347.7074188196017</v>
      </c>
      <c r="N468" t="n">
        <v>3.465735902799727</v>
      </c>
      <c r="O468">
        <f>IF(N468=0, 0, M468/N468)</f>
        <v/>
      </c>
      <c r="P468">
        <f>RANK(O468, O$2:O$518, 0)</f>
        <v/>
      </c>
      <c r="Q468">
        <f>SUM(C468,F468)</f>
        <v/>
      </c>
      <c r="R468">
        <f>SUM(Q468,G468,H468,D468,E468)</f>
        <v/>
      </c>
      <c r="S468">
        <f>SUM(R468,I468,J468,K468,L468)</f>
        <v/>
      </c>
      <c r="T468">
        <f>IF(R468=0, -1, Q468/R468)</f>
        <v/>
      </c>
      <c r="U468">
        <f>IF(S468=0, -1, Q468/S468)</f>
        <v/>
      </c>
      <c r="V468">
        <f>IF(S468=0, -1, R468/S468)</f>
        <v/>
      </c>
    </row>
    <row r="469">
      <c r="A469" t="inlineStr">
        <is>
          <t>RC00735</t>
        </is>
      </c>
      <c r="B469" t="inlineStr">
        <is>
          <t>陕西中医药大学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1</v>
      </c>
      <c r="L469" t="n">
        <v>1</v>
      </c>
      <c r="M469" t="n">
        <v>588.5568721711259</v>
      </c>
      <c r="N469" t="n">
        <v>6.761572768804056</v>
      </c>
      <c r="O469">
        <f>IF(N469=0, 0, M469/N469)</f>
        <v/>
      </c>
      <c r="P469">
        <f>RANK(O469, O$2:O$518, 0)</f>
        <v/>
      </c>
      <c r="Q469">
        <f>SUM(C469,F469)</f>
        <v/>
      </c>
      <c r="R469">
        <f>SUM(Q469,G469,H469,D469,E469)</f>
        <v/>
      </c>
      <c r="S469">
        <f>SUM(R469,I469,J469,K469,L469)</f>
        <v/>
      </c>
      <c r="T469">
        <f>IF(R469=0, -1, Q469/R469)</f>
        <v/>
      </c>
      <c r="U469">
        <f>IF(S469=0, -1, Q469/S469)</f>
        <v/>
      </c>
      <c r="V469">
        <f>IF(S469=0, -1, R469/S469)</f>
        <v/>
      </c>
    </row>
    <row r="470">
      <c r="A470" t="inlineStr">
        <is>
          <t>RC00690</t>
        </is>
      </c>
      <c r="B470" t="inlineStr">
        <is>
          <t>贵州中医药大学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1</v>
      </c>
      <c r="L470" t="n">
        <v>1</v>
      </c>
      <c r="M470" t="n">
        <v>731.1718541459957</v>
      </c>
      <c r="N470" t="n">
        <v>6.761572768804056</v>
      </c>
      <c r="O470">
        <f>IF(N470=0, 0, M470/N470)</f>
        <v/>
      </c>
      <c r="P470">
        <f>RANK(O470, O$2:O$518, 0)</f>
        <v/>
      </c>
      <c r="Q470">
        <f>SUM(C470,F470)</f>
        <v/>
      </c>
      <c r="R470">
        <f>SUM(Q470,G470,H470,D470,E470)</f>
        <v/>
      </c>
      <c r="S470">
        <f>SUM(R470,I470,J470,K470,L470)</f>
        <v/>
      </c>
      <c r="T470">
        <f>IF(R470=0, -1, Q470/R470)</f>
        <v/>
      </c>
      <c r="U470">
        <f>IF(S470=0, -1, Q470/S470)</f>
        <v/>
      </c>
      <c r="V470">
        <f>IF(S470=0, -1, R470/S470)</f>
        <v/>
      </c>
    </row>
    <row r="471">
      <c r="A471" t="inlineStr">
        <is>
          <t>RC00261</t>
        </is>
      </c>
      <c r="B471" t="inlineStr">
        <is>
          <t>沈阳药科大学</t>
        </is>
      </c>
      <c r="C471" t="n">
        <v>0</v>
      </c>
      <c r="D471" t="n">
        <v>0</v>
      </c>
      <c r="E471" t="n">
        <v>0</v>
      </c>
      <c r="F471" t="n">
        <v>0</v>
      </c>
      <c r="G471" t="n">
        <v>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2238.895798441543</v>
      </c>
      <c r="N471" t="n">
        <v>7.67786350067821</v>
      </c>
      <c r="O471">
        <f>IF(N471=0, 0, M471/N471)</f>
        <v/>
      </c>
      <c r="P471">
        <f>RANK(O471, O$2:O$518, 0)</f>
        <v/>
      </c>
      <c r="Q471">
        <f>SUM(C471,F471)</f>
        <v/>
      </c>
      <c r="R471">
        <f>SUM(Q471,G471,H471,D471,E471)</f>
        <v/>
      </c>
      <c r="S471">
        <f>SUM(R471,I471,J471,K471,L471)</f>
        <v/>
      </c>
      <c r="T471">
        <f>IF(R471=0, -1, Q471/R471)</f>
        <v/>
      </c>
      <c r="U471">
        <f>IF(S471=0, -1, Q471/S471)</f>
        <v/>
      </c>
      <c r="V471">
        <f>IF(S471=0, -1, R471/S471)</f>
        <v/>
      </c>
    </row>
    <row r="472">
      <c r="A472" t="inlineStr">
        <is>
          <t>RC00709</t>
        </is>
      </c>
      <c r="B472" t="inlineStr">
        <is>
          <t>云南中医药大学</t>
        </is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224.2383693383526</v>
      </c>
      <c r="N472" t="n">
        <v>3.295836866004329</v>
      </c>
      <c r="O472">
        <f>IF(N472=0, 0, M472/N472)</f>
        <v/>
      </c>
      <c r="P472">
        <f>RANK(O472, O$2:O$518, 0)</f>
        <v/>
      </c>
      <c r="Q472">
        <f>SUM(C472,F472)</f>
        <v/>
      </c>
      <c r="R472">
        <f>SUM(Q472,G472,H472,D472,E472)</f>
        <v/>
      </c>
      <c r="S472">
        <f>SUM(R472,I472,J472,K472,L472)</f>
        <v/>
      </c>
      <c r="T472">
        <f>IF(R472=0, -1, Q472/R472)</f>
        <v/>
      </c>
      <c r="U472">
        <f>IF(S472=0, -1, Q472/S472)</f>
        <v/>
      </c>
      <c r="V472">
        <f>IF(S472=0, -1, R472/S472)</f>
        <v/>
      </c>
    </row>
    <row r="473">
      <c r="A473" t="inlineStr">
        <is>
          <t>RC00726</t>
        </is>
      </c>
      <c r="B473" t="inlineStr">
        <is>
          <t>西藏藏医药大学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200.8802058656076</v>
      </c>
      <c r="N473" t="n">
        <v>3.295836866004329</v>
      </c>
      <c r="O473">
        <f>IF(N473=0, 0, M473/N473)</f>
        <v/>
      </c>
      <c r="P473">
        <f>RANK(O473, O$2:O$518, 0)</f>
        <v/>
      </c>
      <c r="Q473">
        <f>SUM(C473,F473)</f>
        <v/>
      </c>
      <c r="R473">
        <f>SUM(Q473,G473,H473,D473,E473)</f>
        <v/>
      </c>
      <c r="S473">
        <f>SUM(R473,I473,J473,K473,L473)</f>
        <v/>
      </c>
      <c r="T473">
        <f>IF(R473=0, -1, Q473/R473)</f>
        <v/>
      </c>
      <c r="U473">
        <f>IF(S473=0, -1, Q473/S473)</f>
        <v/>
      </c>
      <c r="V473">
        <f>IF(S473=0, -1, R473/S473)</f>
        <v/>
      </c>
    </row>
    <row r="474">
      <c r="A474" t="inlineStr">
        <is>
          <t>RC00141</t>
        </is>
      </c>
      <c r="B474" t="inlineStr">
        <is>
          <t>北京物资学院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1</v>
      </c>
      <c r="L474" t="n">
        <v>1</v>
      </c>
      <c r="M474" t="n">
        <v>652.05540244068</v>
      </c>
      <c r="N474" t="n">
        <v>9.79701530802561</v>
      </c>
      <c r="O474">
        <f>IF(N474=0, 0, M474/N474)</f>
        <v/>
      </c>
      <c r="P474">
        <f>RANK(O474, O$2:O$518, 0)</f>
        <v/>
      </c>
      <c r="Q474">
        <f>SUM(C474,F474)</f>
        <v/>
      </c>
      <c r="R474">
        <f>SUM(Q474,G474,H474,D474,E474)</f>
        <v/>
      </c>
      <c r="S474">
        <f>SUM(R474,I474,J474,K474,L474)</f>
        <v/>
      </c>
      <c r="T474">
        <f>IF(R474=0, -1, Q474/R474)</f>
        <v/>
      </c>
      <c r="U474">
        <f>IF(S474=0, -1, Q474/S474)</f>
        <v/>
      </c>
      <c r="V474">
        <f>IF(S474=0, -1, R474/S474)</f>
        <v/>
      </c>
    </row>
    <row r="475">
      <c r="A475" t="inlineStr">
        <is>
          <t>RC00320</t>
        </is>
      </c>
      <c r="B475" t="inlineStr">
        <is>
          <t>哈尔滨商业大学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362.5465339638436</v>
      </c>
      <c r="N475" t="n">
        <v>5.043425116919247</v>
      </c>
      <c r="O475">
        <f>IF(N475=0, 0, M475/N475)</f>
        <v/>
      </c>
      <c r="P475">
        <f>RANK(O475, O$2:O$518, 0)</f>
        <v/>
      </c>
      <c r="Q475">
        <f>SUM(C475,F475)</f>
        <v/>
      </c>
      <c r="R475">
        <f>SUM(Q475,G475,H475,D475,E475)</f>
        <v/>
      </c>
      <c r="S475">
        <f>SUM(R475,I475,J475,K475,L475)</f>
        <v/>
      </c>
      <c r="T475">
        <f>IF(R475=0, -1, Q475/R475)</f>
        <v/>
      </c>
      <c r="U475">
        <f>IF(S475=0, -1, Q475/S475)</f>
        <v/>
      </c>
      <c r="V475">
        <f>IF(S475=0, -1, R475/S475)</f>
        <v/>
      </c>
    </row>
    <row r="476">
      <c r="A476" t="inlineStr">
        <is>
          <t>RC00147</t>
        </is>
      </c>
      <c r="B476" t="inlineStr">
        <is>
          <t>中央音乐学院</t>
        </is>
      </c>
      <c r="C476" t="n">
        <v>0</v>
      </c>
      <c r="D476" t="n">
        <v>0</v>
      </c>
      <c r="E476" t="n">
        <v>0</v>
      </c>
      <c r="F476" t="n">
        <v>2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8847.934753328464</v>
      </c>
      <c r="N476" t="n">
        <v>8.847934753328465</v>
      </c>
      <c r="O476">
        <f>IF(N476=0, 0, M476/N476)</f>
        <v/>
      </c>
      <c r="P476">
        <f>RANK(O476, O$2:O$518, 0)</f>
        <v/>
      </c>
      <c r="Q476">
        <f>SUM(C476,F476)</f>
        <v/>
      </c>
      <c r="R476">
        <f>SUM(Q476,G476,H476,D476,E476)</f>
        <v/>
      </c>
      <c r="S476">
        <f>SUM(R476,I476,J476,K476,L476)</f>
        <v/>
      </c>
      <c r="T476">
        <f>IF(R476=0, -1, Q476/R476)</f>
        <v/>
      </c>
      <c r="U476">
        <f>IF(S476=0, -1, Q476/S476)</f>
        <v/>
      </c>
      <c r="V476">
        <f>IF(S476=0, -1, R476/S476)</f>
        <v/>
      </c>
    </row>
    <row r="477">
      <c r="A477" t="inlineStr">
        <is>
          <t>RC00388</t>
        </is>
      </c>
      <c r="B477" t="inlineStr">
        <is>
          <t>中国美术学院</t>
        </is>
      </c>
      <c r="C477" t="n">
        <v>0</v>
      </c>
      <c r="D477" t="n">
        <v>0</v>
      </c>
      <c r="E477" t="n">
        <v>0</v>
      </c>
      <c r="F477" t="n">
        <v>3</v>
      </c>
      <c r="G477" t="n">
        <v>0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11360.74713883163</v>
      </c>
      <c r="N477" t="n">
        <v>17.54461022556458</v>
      </c>
      <c r="O477">
        <f>IF(N477=0, 0, M477/N477)</f>
        <v/>
      </c>
      <c r="P477">
        <f>RANK(O477, O$2:O$518, 0)</f>
        <v/>
      </c>
      <c r="Q477">
        <f>SUM(C477,F477)</f>
        <v/>
      </c>
      <c r="R477">
        <f>SUM(Q477,G477,H477,D477,E477)</f>
        <v/>
      </c>
      <c r="S477">
        <f>SUM(R477,I477,J477,K477,L477)</f>
        <v/>
      </c>
      <c r="T477">
        <f>IF(R477=0, -1, Q477/R477)</f>
        <v/>
      </c>
      <c r="U477">
        <f>IF(S477=0, -1, Q477/S477)</f>
        <v/>
      </c>
      <c r="V477">
        <f>IF(S477=0, -1, R477/S477)</f>
        <v/>
      </c>
    </row>
    <row r="478">
      <c r="A478" t="inlineStr">
        <is>
          <t>RC00340</t>
        </is>
      </c>
      <c r="B478" t="inlineStr">
        <is>
          <t>上海音乐学院</t>
        </is>
      </c>
      <c r="C478" t="n">
        <v>0</v>
      </c>
      <c r="D478" t="n">
        <v>0</v>
      </c>
      <c r="E478" t="n">
        <v>0</v>
      </c>
      <c r="F478" t="n">
        <v>1</v>
      </c>
      <c r="G478" t="n">
        <v>1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6822.285560830944</v>
      </c>
      <c r="N478" t="n">
        <v>13.0223220232241</v>
      </c>
      <c r="O478">
        <f>IF(N478=0, 0, M478/N478)</f>
        <v/>
      </c>
      <c r="P478">
        <f>RANK(O478, O$2:O$518, 0)</f>
        <v/>
      </c>
      <c r="Q478">
        <f>SUM(C478,F478)</f>
        <v/>
      </c>
      <c r="R478">
        <f>SUM(Q478,G478,H478,D478,E478)</f>
        <v/>
      </c>
      <c r="S478">
        <f>SUM(R478,I478,J478,K478,L478)</f>
        <v/>
      </c>
      <c r="T478">
        <f>IF(R478=0, -1, Q478/R478)</f>
        <v/>
      </c>
      <c r="U478">
        <f>IF(S478=0, -1, Q478/S478)</f>
        <v/>
      </c>
      <c r="V478">
        <f>IF(S478=0, -1, R478/S478)</f>
        <v/>
      </c>
    </row>
    <row r="479">
      <c r="A479" t="inlineStr">
        <is>
          <t>RC00359</t>
        </is>
      </c>
      <c r="B479" t="inlineStr">
        <is>
          <t>南京艺术学院</t>
        </is>
      </c>
      <c r="C479" t="n">
        <v>0</v>
      </c>
      <c r="D479" t="n">
        <v>0</v>
      </c>
      <c r="E479" t="n">
        <v>0</v>
      </c>
      <c r="F479" t="n">
        <v>1</v>
      </c>
      <c r="G479" t="n">
        <v>4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9125.673654370365</v>
      </c>
      <c r="N479" t="n">
        <v>25.53687886883532</v>
      </c>
      <c r="O479">
        <f>IF(N479=0, 0, M479/N479)</f>
        <v/>
      </c>
      <c r="P479">
        <f>RANK(O479, O$2:O$518, 0)</f>
        <v/>
      </c>
      <c r="Q479">
        <f>SUM(C479,F479)</f>
        <v/>
      </c>
      <c r="R479">
        <f>SUM(Q479,G479,H479,D479,E479)</f>
        <v/>
      </c>
      <c r="S479">
        <f>SUM(R479,I479,J479,K479,L479)</f>
        <v/>
      </c>
      <c r="T479">
        <f>IF(R479=0, -1, Q479/R479)</f>
        <v/>
      </c>
      <c r="U479">
        <f>IF(S479=0, -1, Q479/S479)</f>
        <v/>
      </c>
      <c r="V479">
        <f>IF(S479=0, -1, R479/S479)</f>
        <v/>
      </c>
    </row>
    <row r="480">
      <c r="A480" t="inlineStr">
        <is>
          <t>RC00152</t>
        </is>
      </c>
      <c r="B480" t="inlineStr">
        <is>
          <t>北京电影学院</t>
        </is>
      </c>
      <c r="C480" t="n">
        <v>0</v>
      </c>
      <c r="D480" t="n">
        <v>0</v>
      </c>
      <c r="E480" t="n">
        <v>0</v>
      </c>
      <c r="F480" t="n">
        <v>0</v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5513.35706398083</v>
      </c>
      <c r="N480" t="n">
        <v>13.03375071904772</v>
      </c>
      <c r="O480">
        <f>IF(N480=0, 0, M480/N480)</f>
        <v/>
      </c>
      <c r="P480">
        <f>RANK(O480, O$2:O$518, 0)</f>
        <v/>
      </c>
      <c r="Q480">
        <f>SUM(C480,F480)</f>
        <v/>
      </c>
      <c r="R480">
        <f>SUM(Q480,G480,H480,D480,E480)</f>
        <v/>
      </c>
      <c r="S480">
        <f>SUM(R480,I480,J480,K480,L480)</f>
        <v/>
      </c>
      <c r="T480">
        <f>IF(R480=0, -1, Q480/R480)</f>
        <v/>
      </c>
      <c r="U480">
        <f>IF(S480=0, -1, Q480/S480)</f>
        <v/>
      </c>
      <c r="V480">
        <f>IF(S480=0, -1, R480/S480)</f>
        <v/>
      </c>
    </row>
    <row r="481">
      <c r="A481" t="inlineStr">
        <is>
          <t>RC00341</t>
        </is>
      </c>
      <c r="B481" t="inlineStr">
        <is>
          <t>上海戏剧学院</t>
        </is>
      </c>
      <c r="C481" t="n">
        <v>1</v>
      </c>
      <c r="D481" t="n">
        <v>0</v>
      </c>
      <c r="E481" t="n">
        <v>0</v>
      </c>
      <c r="F481" t="n">
        <v>1</v>
      </c>
      <c r="G481" t="n">
        <v>2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8616.127294045209</v>
      </c>
      <c r="N481" t="n">
        <v>18.5060213927192</v>
      </c>
      <c r="O481">
        <f>IF(N481=0, 0, M481/N481)</f>
        <v/>
      </c>
      <c r="P481">
        <f>RANK(O481, O$2:O$518, 0)</f>
        <v/>
      </c>
      <c r="Q481">
        <f>SUM(C481,F481)</f>
        <v/>
      </c>
      <c r="R481">
        <f>SUM(Q481,G481,H481,D481,E481)</f>
        <v/>
      </c>
      <c r="S481">
        <f>SUM(R481,I481,J481,K481,L481)</f>
        <v/>
      </c>
      <c r="T481">
        <f>IF(R481=0, -1, Q481/R481)</f>
        <v/>
      </c>
      <c r="U481">
        <f>IF(S481=0, -1, Q481/S481)</f>
        <v/>
      </c>
      <c r="V481">
        <f>IF(S481=0, -1, R481/S481)</f>
        <v/>
      </c>
    </row>
    <row r="482">
      <c r="A482" t="inlineStr">
        <is>
          <t>RC00148</t>
        </is>
      </c>
      <c r="B482" t="inlineStr">
        <is>
          <t>中国音乐学院</t>
        </is>
      </c>
      <c r="C482" t="n">
        <v>0</v>
      </c>
      <c r="D482" t="n">
        <v>0</v>
      </c>
      <c r="E482" t="n">
        <v>0</v>
      </c>
      <c r="F482" t="n">
        <v>1</v>
      </c>
      <c r="G482" t="n">
        <v>0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4435.675705497484</v>
      </c>
      <c r="N482" t="n">
        <v>8.847934753328465</v>
      </c>
      <c r="O482">
        <f>IF(N482=0, 0, M482/N482)</f>
        <v/>
      </c>
      <c r="P482">
        <f>RANK(O482, O$2:O$518, 0)</f>
        <v/>
      </c>
      <c r="Q482">
        <f>SUM(C482,F482)</f>
        <v/>
      </c>
      <c r="R482">
        <f>SUM(Q482,G482,H482,D482,E482)</f>
        <v/>
      </c>
      <c r="S482">
        <f>SUM(R482,I482,J482,K482,L482)</f>
        <v/>
      </c>
      <c r="T482">
        <f>IF(R482=0, -1, Q482/R482)</f>
        <v/>
      </c>
      <c r="U482">
        <f>IF(S482=0, -1, Q482/S482)</f>
        <v/>
      </c>
      <c r="V482">
        <f>IF(S482=0, -1, R482/S482)</f>
        <v/>
      </c>
    </row>
    <row r="483">
      <c r="A483" t="inlineStr">
        <is>
          <t>RC00150</t>
        </is>
      </c>
      <c r="B483" t="inlineStr">
        <is>
          <t>中央戏剧学院</t>
        </is>
      </c>
      <c r="C483" t="n">
        <v>0</v>
      </c>
      <c r="D483" t="n">
        <v>0</v>
      </c>
      <c r="E483" t="n">
        <v>0</v>
      </c>
      <c r="F483" t="n">
        <v>1</v>
      </c>
      <c r="G483" t="n">
        <v>0</v>
      </c>
      <c r="H483" t="n">
        <v>1</v>
      </c>
      <c r="I483" t="n">
        <v>0</v>
      </c>
      <c r="J483" t="n">
        <v>0</v>
      </c>
      <c r="K483" t="n">
        <v>0</v>
      </c>
      <c r="L483" t="n">
        <v>1</v>
      </c>
      <c r="M483" t="n">
        <v>5102.74413286952</v>
      </c>
      <c r="N483" t="n">
        <v>10.50232405362483</v>
      </c>
      <c r="O483">
        <f>IF(N483=0, 0, M483/N483)</f>
        <v/>
      </c>
      <c r="P483">
        <f>RANK(O483, O$2:O$518, 0)</f>
        <v/>
      </c>
      <c r="Q483">
        <f>SUM(C483,F483)</f>
        <v/>
      </c>
      <c r="R483">
        <f>SUM(Q483,G483,H483,D483,E483)</f>
        <v/>
      </c>
      <c r="S483">
        <f>SUM(R483,I483,J483,K483,L483)</f>
        <v/>
      </c>
      <c r="T483">
        <f>IF(R483=0, -1, Q483/R483)</f>
        <v/>
      </c>
      <c r="U483">
        <f>IF(S483=0, -1, Q483/S483)</f>
        <v/>
      </c>
      <c r="V483">
        <f>IF(S483=0, -1, R483/S483)</f>
        <v/>
      </c>
    </row>
    <row r="484">
      <c r="A484" t="inlineStr">
        <is>
          <t>RC00809</t>
        </is>
      </c>
      <c r="B484" t="inlineStr">
        <is>
          <t>浙江音乐学院</t>
        </is>
      </c>
      <c r="C484" t="n">
        <v>0</v>
      </c>
      <c r="D484" t="n">
        <v>0</v>
      </c>
      <c r="E484" t="n">
        <v>0</v>
      </c>
      <c r="F484" t="n">
        <v>1</v>
      </c>
      <c r="G484" t="n">
        <v>0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4025.10384430233</v>
      </c>
      <c r="N484" t="n">
        <v>12.37429527794463</v>
      </c>
      <c r="O484">
        <f>IF(N484=0, 0, M484/N484)</f>
        <v/>
      </c>
      <c r="P484">
        <f>RANK(O484, O$2:O$518, 0)</f>
        <v/>
      </c>
      <c r="Q484">
        <f>SUM(C484,F484)</f>
        <v/>
      </c>
      <c r="R484">
        <f>SUM(Q484,G484,H484,D484,E484)</f>
        <v/>
      </c>
      <c r="S484">
        <f>SUM(R484,I484,J484,K484,L484)</f>
        <v/>
      </c>
      <c r="T484">
        <f>IF(R484=0, -1, Q484/R484)</f>
        <v/>
      </c>
      <c r="U484">
        <f>IF(S484=0, -1, Q484/S484)</f>
        <v/>
      </c>
      <c r="V484">
        <f>IF(S484=0, -1, R484/S484)</f>
        <v/>
      </c>
    </row>
    <row r="485">
      <c r="A485" t="inlineStr">
        <is>
          <t>RC00652</t>
        </is>
      </c>
      <c r="B485" t="inlineStr">
        <is>
          <t>四川美术学院</t>
        </is>
      </c>
      <c r="C485" t="n">
        <v>0</v>
      </c>
      <c r="D485" t="n">
        <v>0</v>
      </c>
      <c r="E485" t="n">
        <v>0</v>
      </c>
      <c r="F485" t="n">
        <v>1</v>
      </c>
      <c r="G485" t="n">
        <v>0</v>
      </c>
      <c r="H485" t="n">
        <v>1</v>
      </c>
      <c r="I485" t="n">
        <v>2</v>
      </c>
      <c r="J485" t="n">
        <v>0</v>
      </c>
      <c r="K485" t="n">
        <v>0</v>
      </c>
      <c r="L485" t="n">
        <v>0</v>
      </c>
      <c r="M485" t="n">
        <v>5003.068887384477</v>
      </c>
      <c r="N485" t="n">
        <v>17.54461022556458</v>
      </c>
      <c r="O485">
        <f>IF(N485=0, 0, M485/N485)</f>
        <v/>
      </c>
      <c r="P485">
        <f>RANK(O485, O$2:O$518, 0)</f>
        <v/>
      </c>
      <c r="Q485">
        <f>SUM(C485,F485)</f>
        <v/>
      </c>
      <c r="R485">
        <f>SUM(Q485,G485,H485,D485,E485)</f>
        <v/>
      </c>
      <c r="S485">
        <f>SUM(R485,I485,J485,K485,L485)</f>
        <v/>
      </c>
      <c r="T485">
        <f>IF(R485=0, -1, Q485/R485)</f>
        <v/>
      </c>
      <c r="U485">
        <f>IF(S485=0, -1, Q485/S485)</f>
        <v/>
      </c>
      <c r="V485">
        <f>IF(S485=0, -1, R485/S485)</f>
        <v/>
      </c>
    </row>
    <row r="486">
      <c r="A486" t="inlineStr">
        <is>
          <t>RC00604</t>
        </is>
      </c>
      <c r="B486" t="inlineStr">
        <is>
          <t>广州美术学院</t>
        </is>
      </c>
      <c r="C486" t="n">
        <v>0</v>
      </c>
      <c r="D486" t="n">
        <v>0</v>
      </c>
      <c r="E486" t="n">
        <v>0</v>
      </c>
      <c r="F486" t="n">
        <v>1</v>
      </c>
      <c r="G486" t="n">
        <v>0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3945.699395450366</v>
      </c>
      <c r="N486" t="n">
        <v>13.37022295566894</v>
      </c>
      <c r="O486">
        <f>IF(N486=0, 0, M486/N486)</f>
        <v/>
      </c>
      <c r="P486">
        <f>RANK(O486, O$2:O$518, 0)</f>
        <v/>
      </c>
      <c r="Q486">
        <f>SUM(C486,F486)</f>
        <v/>
      </c>
      <c r="R486">
        <f>SUM(Q486,G486,H486,D486,E486)</f>
        <v/>
      </c>
      <c r="S486">
        <f>SUM(R486,I486,J486,K486,L486)</f>
        <v/>
      </c>
      <c r="T486">
        <f>IF(R486=0, -1, Q486/R486)</f>
        <v/>
      </c>
      <c r="U486">
        <f>IF(S486=0, -1, Q486/S486)</f>
        <v/>
      </c>
      <c r="V486">
        <f>IF(S486=0, -1, R486/S486)</f>
        <v/>
      </c>
    </row>
    <row r="487">
      <c r="A487" t="inlineStr">
        <is>
          <t>RC00489</t>
        </is>
      </c>
      <c r="B487" t="inlineStr">
        <is>
          <t>山东艺术学院</t>
        </is>
      </c>
      <c r="C487" t="n">
        <v>0</v>
      </c>
      <c r="D487" t="n">
        <v>0</v>
      </c>
      <c r="E487" t="n">
        <v>1</v>
      </c>
      <c r="F487" t="n">
        <v>0</v>
      </c>
      <c r="G487" t="n">
        <v>0</v>
      </c>
      <c r="H487" t="n">
        <v>1</v>
      </c>
      <c r="I487" t="n">
        <v>2</v>
      </c>
      <c r="J487" t="n">
        <v>1</v>
      </c>
      <c r="K487" t="n">
        <v>1</v>
      </c>
      <c r="L487" t="n">
        <v>0</v>
      </c>
      <c r="M487" t="n">
        <v>3014.140138711802</v>
      </c>
      <c r="N487" t="n">
        <v>22.97192951137378</v>
      </c>
      <c r="O487">
        <f>IF(N487=0, 0, M487/N487)</f>
        <v/>
      </c>
      <c r="P487">
        <f>RANK(O487, O$2:O$518, 0)</f>
        <v/>
      </c>
      <c r="Q487">
        <f>SUM(C487,F487)</f>
        <v/>
      </c>
      <c r="R487">
        <f>SUM(Q487,G487,H487,D487,E487)</f>
        <v/>
      </c>
      <c r="S487">
        <f>SUM(R487,I487,J487,K487,L487)</f>
        <v/>
      </c>
      <c r="T487">
        <f>IF(R487=0, -1, Q487/R487)</f>
        <v/>
      </c>
      <c r="U487">
        <f>IF(S487=0, -1, Q487/S487)</f>
        <v/>
      </c>
      <c r="V487">
        <f>IF(S487=0, -1, R487/S487)</f>
        <v/>
      </c>
    </row>
    <row r="488">
      <c r="A488" t="inlineStr">
        <is>
          <t>RC00153</t>
        </is>
      </c>
      <c r="B488" t="inlineStr">
        <is>
          <t>北京舞蹈学院</t>
        </is>
      </c>
      <c r="C488" t="n">
        <v>0</v>
      </c>
      <c r="D488" t="n">
        <v>0</v>
      </c>
      <c r="E488" t="n">
        <v>0</v>
      </c>
      <c r="F488" t="n">
        <v>1</v>
      </c>
      <c r="G488" t="n">
        <v>0</v>
      </c>
      <c r="H488" t="n">
        <v>0</v>
      </c>
      <c r="I488" t="n">
        <v>1</v>
      </c>
      <c r="J488" t="n">
        <v>0</v>
      </c>
      <c r="K488" t="n">
        <v>1</v>
      </c>
      <c r="L488" t="n">
        <v>0</v>
      </c>
      <c r="M488" t="n">
        <v>4650.652209221022</v>
      </c>
      <c r="N488" t="n">
        <v>12.08277442918568</v>
      </c>
      <c r="O488">
        <f>IF(N488=0, 0, M488/N488)</f>
        <v/>
      </c>
      <c r="P488">
        <f>RANK(O488, O$2:O$518, 0)</f>
        <v/>
      </c>
      <c r="Q488">
        <f>SUM(C488,F488)</f>
        <v/>
      </c>
      <c r="R488">
        <f>SUM(Q488,G488,H488,D488,E488)</f>
        <v/>
      </c>
      <c r="S488">
        <f>SUM(R488,I488,J488,K488,L488)</f>
        <v/>
      </c>
      <c r="T488">
        <f>IF(R488=0, -1, Q488/R488)</f>
        <v/>
      </c>
      <c r="U488">
        <f>IF(S488=0, -1, Q488/S488)</f>
        <v/>
      </c>
      <c r="V488">
        <f>IF(S488=0, -1, R488/S488)</f>
        <v/>
      </c>
    </row>
    <row r="489">
      <c r="A489" t="inlineStr">
        <is>
          <t>RC00151</t>
        </is>
      </c>
      <c r="B489" t="inlineStr">
        <is>
          <t>中国戏曲学院</t>
        </is>
      </c>
      <c r="C489" t="n">
        <v>1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1</v>
      </c>
      <c r="K489" t="n">
        <v>1</v>
      </c>
      <c r="L489" t="n">
        <v>0</v>
      </c>
      <c r="M489" t="n">
        <v>2821.102456818326</v>
      </c>
      <c r="N489" t="n">
        <v>10.79384490238378</v>
      </c>
      <c r="O489">
        <f>IF(N489=0, 0, M489/N489)</f>
        <v/>
      </c>
      <c r="P489">
        <f>RANK(O489, O$2:O$518, 0)</f>
        <v/>
      </c>
      <c r="Q489">
        <f>SUM(C489,F489)</f>
        <v/>
      </c>
      <c r="R489">
        <f>SUM(Q489,G489,H489,D489,E489)</f>
        <v/>
      </c>
      <c r="S489">
        <f>SUM(R489,I489,J489,K489,L489)</f>
        <v/>
      </c>
      <c r="T489">
        <f>IF(R489=0, -1, Q489/R489)</f>
        <v/>
      </c>
      <c r="U489">
        <f>IF(S489=0, -1, Q489/S489)</f>
        <v/>
      </c>
      <c r="V489">
        <f>IF(S489=0, -1, R489/S489)</f>
        <v/>
      </c>
    </row>
    <row r="490">
      <c r="A490" t="inlineStr">
        <is>
          <t>RC00717</t>
        </is>
      </c>
      <c r="B490" t="inlineStr">
        <is>
          <t>云南艺术学院</t>
        </is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5</v>
      </c>
      <c r="J490" t="n">
        <v>1</v>
      </c>
      <c r="K490" t="n">
        <v>0</v>
      </c>
      <c r="L490" t="n">
        <v>0</v>
      </c>
      <c r="M490" t="n">
        <v>3320.320282927091</v>
      </c>
      <c r="N490" t="n">
        <v>25.53687886883532</v>
      </c>
      <c r="O490">
        <f>IF(N490=0, 0, M490/N490)</f>
        <v/>
      </c>
      <c r="P490">
        <f>RANK(O490, O$2:O$518, 0)</f>
        <v/>
      </c>
      <c r="Q490">
        <f>SUM(C490,F490)</f>
        <v/>
      </c>
      <c r="R490">
        <f>SUM(Q490,G490,H490,D490,E490)</f>
        <v/>
      </c>
      <c r="S490">
        <f>SUM(R490,I490,J490,K490,L490)</f>
        <v/>
      </c>
      <c r="T490">
        <f>IF(R490=0, -1, Q490/R490)</f>
        <v/>
      </c>
      <c r="U490">
        <f>IF(S490=0, -1, Q490/S490)</f>
        <v/>
      </c>
      <c r="V490">
        <f>IF(S490=0, -1, R490/S490)</f>
        <v/>
      </c>
    </row>
    <row r="491">
      <c r="A491" t="inlineStr">
        <is>
          <t>RC00632</t>
        </is>
      </c>
      <c r="B491" t="inlineStr">
        <is>
          <t>广西艺术学院</t>
        </is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2</v>
      </c>
      <c r="J491" t="n">
        <v>1</v>
      </c>
      <c r="K491" t="n">
        <v>1</v>
      </c>
      <c r="L491" t="n">
        <v>1</v>
      </c>
      <c r="M491" t="n">
        <v>1826.416976192087</v>
      </c>
      <c r="N491" t="n">
        <v>21.36249159893968</v>
      </c>
      <c r="O491">
        <f>IF(N491=0, 0, M491/N491)</f>
        <v/>
      </c>
      <c r="P491">
        <f>RANK(O491, O$2:O$518, 0)</f>
        <v/>
      </c>
      <c r="Q491">
        <f>SUM(C491,F491)</f>
        <v/>
      </c>
      <c r="R491">
        <f>SUM(Q491,G491,H491,D491,E491)</f>
        <v/>
      </c>
      <c r="S491">
        <f>SUM(R491,I491,J491,K491,L491)</f>
        <v/>
      </c>
      <c r="T491">
        <f>IF(R491=0, -1, Q491/R491)</f>
        <v/>
      </c>
      <c r="U491">
        <f>IF(S491=0, -1, Q491/S491)</f>
        <v/>
      </c>
      <c r="V491">
        <f>IF(S491=0, -1, R491/S491)</f>
        <v/>
      </c>
    </row>
    <row r="492">
      <c r="A492" t="inlineStr">
        <is>
          <t>RC00791</t>
        </is>
      </c>
      <c r="B492" t="inlineStr">
        <is>
          <t>内蒙古艺术学院</t>
        </is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2</v>
      </c>
      <c r="K492" t="n">
        <v>2</v>
      </c>
      <c r="L492" t="n">
        <v>0</v>
      </c>
      <c r="M492" t="n">
        <v>1285.502350500325</v>
      </c>
      <c r="N492" t="n">
        <v>16.54868254784026</v>
      </c>
      <c r="O492">
        <f>IF(N492=0, 0, M492/N492)</f>
        <v/>
      </c>
      <c r="P492">
        <f>RANK(O492, O$2:O$518, 0)</f>
        <v/>
      </c>
      <c r="Q492">
        <f>SUM(C492,F492)</f>
        <v/>
      </c>
      <c r="R492">
        <f>SUM(Q492,G492,H492,D492,E492)</f>
        <v/>
      </c>
      <c r="S492">
        <f>SUM(R492,I492,J492,K492,L492)</f>
        <v/>
      </c>
      <c r="T492">
        <f>IF(R492=0, -1, Q492/R492)</f>
        <v/>
      </c>
      <c r="U492">
        <f>IF(S492=0, -1, Q492/S492)</f>
        <v/>
      </c>
      <c r="V492">
        <f>IF(S492=0, -1, R492/S492)</f>
        <v/>
      </c>
    </row>
    <row r="493">
      <c r="A493" t="inlineStr">
        <is>
          <t>RC00745</t>
        </is>
      </c>
      <c r="B493" t="inlineStr">
        <is>
          <t>西安美术学院</t>
        </is>
      </c>
      <c r="C493" t="n">
        <v>0</v>
      </c>
      <c r="D493" t="n">
        <v>0</v>
      </c>
      <c r="E493" t="n">
        <v>0</v>
      </c>
      <c r="F493" t="n">
        <v>0</v>
      </c>
      <c r="G493" t="n">
        <v>1</v>
      </c>
      <c r="H493" t="n">
        <v>0</v>
      </c>
      <c r="I493" t="n">
        <v>0</v>
      </c>
      <c r="J493" t="n">
        <v>0</v>
      </c>
      <c r="K493" t="n">
        <v>1</v>
      </c>
      <c r="L493" t="n">
        <v>0</v>
      </c>
      <c r="M493" t="n">
        <v>1790.587758018045</v>
      </c>
      <c r="N493" t="n">
        <v>8.859363449152088</v>
      </c>
      <c r="O493">
        <f>IF(N493=0, 0, M493/N493)</f>
        <v/>
      </c>
      <c r="P493">
        <f>RANK(O493, O$2:O$518, 0)</f>
        <v/>
      </c>
      <c r="Q493">
        <f>SUM(C493,F493)</f>
        <v/>
      </c>
      <c r="R493">
        <f>SUM(Q493,G493,H493,D493,E493)</f>
        <v/>
      </c>
      <c r="S493">
        <f>SUM(R493,I493,J493,K493,L493)</f>
        <v/>
      </c>
      <c r="T493">
        <f>IF(R493=0, -1, Q493/R493)</f>
        <v/>
      </c>
      <c r="U493">
        <f>IF(S493=0, -1, Q493/S493)</f>
        <v/>
      </c>
      <c r="V493">
        <f>IF(S493=0, -1, R493/S493)</f>
        <v/>
      </c>
    </row>
    <row r="494">
      <c r="A494" t="inlineStr">
        <is>
          <t>RC00561</t>
        </is>
      </c>
      <c r="B494" t="inlineStr">
        <is>
          <t>武汉音乐学院</t>
        </is>
      </c>
      <c r="C494" t="n">
        <v>0</v>
      </c>
      <c r="D494" t="n">
        <v>0</v>
      </c>
      <c r="E494" t="n">
        <v>0</v>
      </c>
      <c r="F494" t="n">
        <v>0</v>
      </c>
      <c r="G494" t="n">
        <v>1</v>
      </c>
      <c r="H494" t="n">
        <v>0</v>
      </c>
      <c r="I494" t="n">
        <v>0</v>
      </c>
      <c r="J494" t="n">
        <v>1</v>
      </c>
      <c r="K494" t="n">
        <v>1</v>
      </c>
      <c r="L494" t="n">
        <v>0</v>
      </c>
      <c r="M494" t="n">
        <v>1566.750623779029</v>
      </c>
      <c r="N494" t="n">
        <v>12.37429527794463</v>
      </c>
      <c r="O494">
        <f>IF(N494=0, 0, M494/N494)</f>
        <v/>
      </c>
      <c r="P494">
        <f>RANK(O494, O$2:O$518, 0)</f>
        <v/>
      </c>
      <c r="Q494">
        <f>SUM(C494,F494)</f>
        <v/>
      </c>
      <c r="R494">
        <f>SUM(Q494,G494,H494,D494,E494)</f>
        <v/>
      </c>
      <c r="S494">
        <f>SUM(R494,I494,J494,K494,L494)</f>
        <v/>
      </c>
      <c r="T494">
        <f>IF(R494=0, -1, Q494/R494)</f>
        <v/>
      </c>
      <c r="U494">
        <f>IF(S494=0, -1, Q494/S494)</f>
        <v/>
      </c>
      <c r="V494">
        <f>IF(S494=0, -1, R494/S494)</f>
        <v/>
      </c>
    </row>
    <row r="495">
      <c r="A495" t="inlineStr">
        <is>
          <t>RC00678</t>
        </is>
      </c>
      <c r="B495" t="inlineStr">
        <is>
          <t>四川音乐学院</t>
        </is>
      </c>
      <c r="C495" t="n">
        <v>0</v>
      </c>
      <c r="D495" t="n">
        <v>0</v>
      </c>
      <c r="E495" t="n">
        <v>0</v>
      </c>
      <c r="F495" t="n">
        <v>0</v>
      </c>
      <c r="G495" t="n">
        <v>1</v>
      </c>
      <c r="H495" t="n">
        <v>0</v>
      </c>
      <c r="I495" t="n">
        <v>0</v>
      </c>
      <c r="J495" t="n">
        <v>0</v>
      </c>
      <c r="K495" t="n">
        <v>1</v>
      </c>
      <c r="L495" t="n">
        <v>2</v>
      </c>
      <c r="M495" t="n">
        <v>1699.781411525492</v>
      </c>
      <c r="N495" t="n">
        <v>16.85163209242283</v>
      </c>
      <c r="O495">
        <f>IF(N495=0, 0, M495/N495)</f>
        <v/>
      </c>
      <c r="P495">
        <f>RANK(O495, O$2:O$518, 0)</f>
        <v/>
      </c>
      <c r="Q495">
        <f>SUM(C495,F495)</f>
        <v/>
      </c>
      <c r="R495">
        <f>SUM(Q495,G495,H495,D495,E495)</f>
        <v/>
      </c>
      <c r="S495">
        <f>SUM(R495,I495,J495,K495,L495)</f>
        <v/>
      </c>
      <c r="T495">
        <f>IF(R495=0, -1, Q495/R495)</f>
        <v/>
      </c>
      <c r="U495">
        <f>IF(S495=0, -1, Q495/S495)</f>
        <v/>
      </c>
      <c r="V495">
        <f>IF(S495=0, -1, R495/S495)</f>
        <v/>
      </c>
    </row>
    <row r="496">
      <c r="A496" t="inlineStr">
        <is>
          <t>RC00297</t>
        </is>
      </c>
      <c r="B496" t="inlineStr">
        <is>
          <t>吉林艺术学院</t>
        </is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2</v>
      </c>
      <c r="J496" t="n">
        <v>2</v>
      </c>
      <c r="K496" t="n">
        <v>2</v>
      </c>
      <c r="L496" t="n">
        <v>0</v>
      </c>
      <c r="M496" t="n">
        <v>2595.161963708306</v>
      </c>
      <c r="N496" t="n">
        <v>25.53687886883532</v>
      </c>
      <c r="O496">
        <f>IF(N496=0, 0, M496/N496)</f>
        <v/>
      </c>
      <c r="P496">
        <f>RANK(O496, O$2:O$518, 0)</f>
        <v/>
      </c>
      <c r="Q496">
        <f>SUM(C496,F496)</f>
        <v/>
      </c>
      <c r="R496">
        <f>SUM(Q496,G496,H496,D496,E496)</f>
        <v/>
      </c>
      <c r="S496">
        <f>SUM(R496,I496,J496,K496,L496)</f>
        <v/>
      </c>
      <c r="T496">
        <f>IF(R496=0, -1, Q496/R496)</f>
        <v/>
      </c>
      <c r="U496">
        <f>IF(S496=0, -1, Q496/S496)</f>
        <v/>
      </c>
      <c r="V496">
        <f>IF(S496=0, -1, R496/S496)</f>
        <v/>
      </c>
    </row>
    <row r="497">
      <c r="A497" t="inlineStr">
        <is>
          <t>RC00177</t>
        </is>
      </c>
      <c r="B497" t="inlineStr">
        <is>
          <t>天津美术学院</t>
        </is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1</v>
      </c>
      <c r="I497" t="n">
        <v>0</v>
      </c>
      <c r="J497" t="n">
        <v>0</v>
      </c>
      <c r="K497" t="n">
        <v>0</v>
      </c>
      <c r="L497" t="n">
        <v>2</v>
      </c>
      <c r="M497" t="n">
        <v>1420.282433499506</v>
      </c>
      <c r="N497" t="n">
        <v>13.37022295566894</v>
      </c>
      <c r="O497">
        <f>IF(N497=0, 0, M497/N497)</f>
        <v/>
      </c>
      <c r="P497">
        <f>RANK(O497, O$2:O$518, 0)</f>
        <v/>
      </c>
      <c r="Q497">
        <f>SUM(C497,F497)</f>
        <v/>
      </c>
      <c r="R497">
        <f>SUM(Q497,G497,H497,D497,E497)</f>
        <v/>
      </c>
      <c r="S497">
        <f>SUM(R497,I497,J497,K497,L497)</f>
        <v/>
      </c>
      <c r="T497">
        <f>IF(R497=0, -1, Q497/R497)</f>
        <v/>
      </c>
      <c r="U497">
        <f>IF(S497=0, -1, Q497/S497)</f>
        <v/>
      </c>
      <c r="V497">
        <f>IF(S497=0, -1, R497/S497)</f>
        <v/>
      </c>
    </row>
    <row r="498">
      <c r="A498" t="inlineStr">
        <is>
          <t>RC00176</t>
        </is>
      </c>
      <c r="B498" t="inlineStr">
        <is>
          <t>天津音乐学院</t>
        </is>
      </c>
      <c r="C498" t="n">
        <v>0</v>
      </c>
      <c r="D498" t="n">
        <v>0</v>
      </c>
      <c r="E498" t="n">
        <v>0</v>
      </c>
      <c r="F498" t="n">
        <v>0</v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1186.976822926767</v>
      </c>
      <c r="N498" t="n">
        <v>8.847934753328465</v>
      </c>
      <c r="O498">
        <f>IF(N498=0, 0, M498/N498)</f>
        <v/>
      </c>
      <c r="P498">
        <f>RANK(O498, O$2:O$518, 0)</f>
        <v/>
      </c>
      <c r="Q498">
        <f>SUM(C498,F498)</f>
        <v/>
      </c>
      <c r="R498">
        <f>SUM(Q498,G498,H498,D498,E498)</f>
        <v/>
      </c>
      <c r="S498">
        <f>SUM(R498,I498,J498,K498,L498)</f>
        <v/>
      </c>
      <c r="T498">
        <f>IF(R498=0, -1, Q498/R498)</f>
        <v/>
      </c>
      <c r="U498">
        <f>IF(S498=0, -1, Q498/S498)</f>
        <v/>
      </c>
      <c r="V498">
        <f>IF(S498=0, -1, R498/S498)</f>
        <v/>
      </c>
    </row>
    <row r="499">
      <c r="A499" t="inlineStr">
        <is>
          <t>RC00808</t>
        </is>
      </c>
      <c r="B499" t="inlineStr">
        <is>
          <t>哈尔滨音乐学院</t>
        </is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1</v>
      </c>
      <c r="J499" t="n">
        <v>0</v>
      </c>
      <c r="K499" t="n">
        <v>0</v>
      </c>
      <c r="L499" t="n">
        <v>1</v>
      </c>
      <c r="M499" t="n">
        <v>681.3297105358284</v>
      </c>
      <c r="N499" t="n">
        <v>8.847934753328465</v>
      </c>
      <c r="O499">
        <f>IF(N499=0, 0, M499/N499)</f>
        <v/>
      </c>
      <c r="P499">
        <f>RANK(O499, O$2:O$518, 0)</f>
        <v/>
      </c>
      <c r="Q499">
        <f>SUM(C499,F499)</f>
        <v/>
      </c>
      <c r="R499">
        <f>SUM(Q499,G499,H499,D499,E499)</f>
        <v/>
      </c>
      <c r="S499">
        <f>SUM(R499,I499,J499,K499,L499)</f>
        <v/>
      </c>
      <c r="T499">
        <f>IF(R499=0, -1, Q499/R499)</f>
        <v/>
      </c>
      <c r="U499">
        <f>IF(S499=0, -1, Q499/S499)</f>
        <v/>
      </c>
      <c r="V499">
        <f>IF(S499=0, -1, R499/S499)</f>
        <v/>
      </c>
    </row>
    <row r="500">
      <c r="A500" t="inlineStr">
        <is>
          <t>RC00605</t>
        </is>
      </c>
      <c r="B500" t="inlineStr">
        <is>
          <t>星海音乐学院</t>
        </is>
      </c>
      <c r="C500" t="n">
        <v>0</v>
      </c>
      <c r="D500" t="n">
        <v>0</v>
      </c>
      <c r="E500" t="n">
        <v>0</v>
      </c>
      <c r="F500" t="n">
        <v>0</v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959.1022357169784</v>
      </c>
      <c r="N500" t="n">
        <v>7.992268643270745</v>
      </c>
      <c r="O500">
        <f>IF(N500=0, 0, M500/N500)</f>
        <v/>
      </c>
      <c r="P500">
        <f>RANK(O500, O$2:O$518, 0)</f>
        <v/>
      </c>
      <c r="Q500">
        <f>SUM(C500,F500)</f>
        <v/>
      </c>
      <c r="R500">
        <f>SUM(Q500,G500,H500,D500,E500)</f>
        <v/>
      </c>
      <c r="S500">
        <f>SUM(R500,I500,J500,K500,L500)</f>
        <v/>
      </c>
      <c r="T500">
        <f>IF(R500=0, -1, Q500/R500)</f>
        <v/>
      </c>
      <c r="U500">
        <f>IF(S500=0, -1, Q500/S500)</f>
        <v/>
      </c>
      <c r="V500">
        <f>IF(S500=0, -1, R500/S500)</f>
        <v/>
      </c>
    </row>
    <row r="501">
      <c r="A501" t="inlineStr">
        <is>
          <t>RC00271</t>
        </is>
      </c>
      <c r="B501" t="inlineStr">
        <is>
          <t>沈阳音乐学院</t>
        </is>
      </c>
      <c r="C501" t="n">
        <v>0</v>
      </c>
      <c r="D501" t="n">
        <v>0</v>
      </c>
      <c r="E501" t="n">
        <v>0</v>
      </c>
      <c r="F501" t="n">
        <v>0</v>
      </c>
      <c r="G501" t="n">
        <v>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933.3790205791249</v>
      </c>
      <c r="N501" t="n">
        <v>7.992268643270745</v>
      </c>
      <c r="O501">
        <f>IF(N501=0, 0, M501/N501)</f>
        <v/>
      </c>
      <c r="P501">
        <f>RANK(O501, O$2:O$518, 0)</f>
        <v/>
      </c>
      <c r="Q501">
        <f>SUM(C501,F501)</f>
        <v/>
      </c>
      <c r="R501">
        <f>SUM(Q501,G501,H501,D501,E501)</f>
        <v/>
      </c>
      <c r="S501">
        <f>SUM(R501,I501,J501,K501,L501)</f>
        <v/>
      </c>
      <c r="T501">
        <f>IF(R501=0, -1, Q501/R501)</f>
        <v/>
      </c>
      <c r="U501">
        <f>IF(S501=0, -1, Q501/S501)</f>
        <v/>
      </c>
      <c r="V501">
        <f>IF(S501=0, -1, R501/S501)</f>
        <v/>
      </c>
    </row>
    <row r="502">
      <c r="A502" t="inlineStr">
        <is>
          <t>RC00744</t>
        </is>
      </c>
      <c r="B502" t="inlineStr">
        <is>
          <t>西安音乐学院</t>
        </is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554.3885940398794</v>
      </c>
      <c r="N502" t="n">
        <v>4.465908118654584</v>
      </c>
      <c r="O502">
        <f>IF(N502=0, 0, M502/N502)</f>
        <v/>
      </c>
      <c r="P502">
        <f>RANK(O502, O$2:O$518, 0)</f>
        <v/>
      </c>
      <c r="Q502">
        <f>SUM(C502,F502)</f>
        <v/>
      </c>
      <c r="R502">
        <f>SUM(Q502,G502,H502,D502,E502)</f>
        <v/>
      </c>
      <c r="S502">
        <f>SUM(R502,I502,J502,K502,L502)</f>
        <v/>
      </c>
      <c r="T502">
        <f>IF(R502=0, -1, Q502/R502)</f>
        <v/>
      </c>
      <c r="U502">
        <f>IF(S502=0, -1, Q502/S502)</f>
        <v/>
      </c>
      <c r="V502">
        <f>IF(S502=0, -1, R502/S502)</f>
        <v/>
      </c>
    </row>
    <row r="503">
      <c r="A503" t="inlineStr">
        <is>
          <t>RC00385</t>
        </is>
      </c>
      <c r="B503" t="inlineStr">
        <is>
          <t>丽水学院</t>
        </is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202.395835919321</v>
      </c>
      <c r="N503" t="n">
        <v>4.465908118654584</v>
      </c>
      <c r="O503">
        <f>IF(N503=0, 0, M503/N503)</f>
        <v/>
      </c>
      <c r="P503">
        <f>RANK(O503, O$2:O$518, 0)</f>
        <v/>
      </c>
      <c r="Q503">
        <f>SUM(C503,F503)</f>
        <v/>
      </c>
      <c r="R503">
        <f>SUM(Q503,G503,H503,D503,E503)</f>
        <v/>
      </c>
      <c r="S503">
        <f>SUM(R503,I503,J503,K503,L503)</f>
        <v/>
      </c>
      <c r="T503">
        <f>IF(R503=0, -1, Q503/R503)</f>
        <v/>
      </c>
      <c r="U503">
        <f>IF(S503=0, -1, Q503/S503)</f>
        <v/>
      </c>
      <c r="V503">
        <f>IF(S503=0, -1, R503/S503)</f>
        <v/>
      </c>
    </row>
    <row r="504">
      <c r="A504" t="inlineStr">
        <is>
          <t>RC00433</t>
        </is>
      </c>
      <c r="B504" t="inlineStr">
        <is>
          <t>泉州师范学院</t>
        </is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167.1965601072652</v>
      </c>
      <c r="N504" t="n">
        <v>4.465908118654584</v>
      </c>
      <c r="O504">
        <f>IF(N504=0, 0, M504/N504)</f>
        <v/>
      </c>
      <c r="P504">
        <f>RANK(O504, O$2:O$518, 0)</f>
        <v/>
      </c>
      <c r="Q504">
        <f>SUM(C504,F504)</f>
        <v/>
      </c>
      <c r="R504">
        <f>SUM(Q504,G504,H504,D504,E504)</f>
        <v/>
      </c>
      <c r="S504">
        <f>SUM(R504,I504,J504,K504,L504)</f>
        <v/>
      </c>
      <c r="T504">
        <f>IF(R504=0, -1, Q504/R504)</f>
        <v/>
      </c>
      <c r="U504">
        <f>IF(S504=0, -1, Q504/S504)</f>
        <v/>
      </c>
      <c r="V504">
        <f>IF(S504=0, -1, R504/S504)</f>
        <v/>
      </c>
    </row>
    <row r="505">
      <c r="A505" t="inlineStr">
        <is>
          <t>RC00545</t>
        </is>
      </c>
      <c r="B505" t="inlineStr">
        <is>
          <t>黄冈师范学院</t>
        </is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136.3971937717164</v>
      </c>
      <c r="N505" t="n">
        <v>4.465908118654584</v>
      </c>
      <c r="O505">
        <f>IF(N505=0, 0, M505/N505)</f>
        <v/>
      </c>
      <c r="P505">
        <f>RANK(O505, O$2:O$518, 0)</f>
        <v/>
      </c>
      <c r="Q505">
        <f>SUM(C505,F505)</f>
        <v/>
      </c>
      <c r="R505">
        <f>SUM(Q505,G505,H505,D505,E505)</f>
        <v/>
      </c>
      <c r="S505">
        <f>SUM(R505,I505,J505,K505,L505)</f>
        <v/>
      </c>
      <c r="T505">
        <f>IF(R505=0, -1, Q505/R505)</f>
        <v/>
      </c>
      <c r="U505">
        <f>IF(S505=0, -1, Q505/S505)</f>
        <v/>
      </c>
      <c r="V505">
        <f>IF(S505=0, -1, R505/S505)</f>
        <v/>
      </c>
    </row>
    <row r="506">
      <c r="A506" t="inlineStr">
        <is>
          <t>RC00302</t>
        </is>
      </c>
      <c r="B506" t="inlineStr">
        <is>
          <t>长春大学</t>
        </is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118.7975558656884</v>
      </c>
      <c r="N506" t="n">
        <v>4.465908118654584</v>
      </c>
      <c r="O506">
        <f>IF(N506=0, 0, M506/N506)</f>
        <v/>
      </c>
      <c r="P506">
        <f>RANK(O506, O$2:O$518, 0)</f>
        <v/>
      </c>
      <c r="Q506">
        <f>SUM(C506,F506)</f>
        <v/>
      </c>
      <c r="R506">
        <f>SUM(Q506,G506,H506,D506,E506)</f>
        <v/>
      </c>
      <c r="S506">
        <f>SUM(R506,I506,J506,K506,L506)</f>
        <v/>
      </c>
      <c r="T506">
        <f>IF(R506=0, -1, Q506/R506)</f>
        <v/>
      </c>
      <c r="U506">
        <f>IF(S506=0, -1, Q506/S506)</f>
        <v/>
      </c>
      <c r="V506">
        <f>IF(S506=0, -1, R506/S506)</f>
        <v/>
      </c>
    </row>
    <row r="507">
      <c r="A507" t="inlineStr">
        <is>
          <t>RC00786</t>
        </is>
      </c>
      <c r="B507" t="inlineStr">
        <is>
          <t>新疆艺术学院</t>
        </is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507.4699494458131</v>
      </c>
      <c r="N507" t="n">
        <v>3.526360524616162</v>
      </c>
      <c r="O507">
        <f>IF(N507=0, 0, M507/N507)</f>
        <v/>
      </c>
      <c r="P507">
        <f>RANK(O507, O$2:O$518, 0)</f>
        <v/>
      </c>
      <c r="Q507">
        <f>SUM(C507,F507)</f>
        <v/>
      </c>
      <c r="R507">
        <f>SUM(Q507,G507,H507,D507,E507)</f>
        <v/>
      </c>
      <c r="S507">
        <f>SUM(R507,I507,J507,K507,L507)</f>
        <v/>
      </c>
      <c r="T507">
        <f>IF(R507=0, -1, Q507/R507)</f>
        <v/>
      </c>
      <c r="U507">
        <f>IF(S507=0, -1, Q507/S507)</f>
        <v/>
      </c>
      <c r="V507">
        <f>IF(S507=0, -1, R507/S507)</f>
        <v/>
      </c>
    </row>
    <row r="508">
      <c r="A508" t="inlineStr">
        <is>
          <t>RC00491</t>
        </is>
      </c>
      <c r="B508" t="inlineStr">
        <is>
          <t>山东工艺美术学院</t>
        </is>
      </c>
      <c r="C508" t="n">
        <v>0</v>
      </c>
      <c r="D508" t="n">
        <v>0</v>
      </c>
      <c r="E508" t="n">
        <v>0</v>
      </c>
      <c r="F508" t="n">
        <v>0</v>
      </c>
      <c r="G508" t="n">
        <v>1</v>
      </c>
      <c r="H508" t="n">
        <v>0</v>
      </c>
      <c r="I508" t="n">
        <v>1</v>
      </c>
      <c r="J508" t="n">
        <v>1</v>
      </c>
      <c r="K508" t="n">
        <v>0</v>
      </c>
      <c r="L508" t="n">
        <v>0</v>
      </c>
      <c r="M508" t="n">
        <v>2994.27244606244</v>
      </c>
      <c r="N508" t="n">
        <v>13.16258359089069</v>
      </c>
      <c r="O508">
        <f>IF(N508=0, 0, M508/N508)</f>
        <v/>
      </c>
      <c r="P508">
        <f>RANK(O508, O$2:O$518, 0)</f>
        <v/>
      </c>
      <c r="Q508">
        <f>SUM(C508,F508)</f>
        <v/>
      </c>
      <c r="R508">
        <f>SUM(Q508,G508,H508,D508,E508)</f>
        <v/>
      </c>
      <c r="S508">
        <f>SUM(R508,I508,J508,K508,L508)</f>
        <v/>
      </c>
      <c r="T508">
        <f>IF(R508=0, -1, Q508/R508)</f>
        <v/>
      </c>
      <c r="U508">
        <f>IF(S508=0, -1, Q508/S508)</f>
        <v/>
      </c>
      <c r="V508">
        <f>IF(S508=0, -1, R508/S508)</f>
        <v/>
      </c>
    </row>
    <row r="509">
      <c r="A509" t="inlineStr">
        <is>
          <t>RC00582</t>
        </is>
      </c>
      <c r="B509" t="inlineStr">
        <is>
          <t>长沙学院</t>
        </is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229.8786481544531</v>
      </c>
      <c r="N509" t="n">
        <v>4.174387269895637</v>
      </c>
      <c r="O509">
        <f>IF(N509=0, 0, M509/N509)</f>
        <v/>
      </c>
      <c r="P509">
        <f>RANK(O509, O$2:O$518, 0)</f>
        <v/>
      </c>
      <c r="Q509">
        <f>SUM(C509,F509)</f>
        <v/>
      </c>
      <c r="R509">
        <f>SUM(Q509,G509,H509,D509,E509)</f>
        <v/>
      </c>
      <c r="S509">
        <f>SUM(R509,I509,J509,K509,L509)</f>
        <v/>
      </c>
      <c r="T509">
        <f>IF(R509=0, -1, Q509/R509)</f>
        <v/>
      </c>
      <c r="U509">
        <f>IF(S509=0, -1, Q509/S509)</f>
        <v/>
      </c>
      <c r="V509">
        <f>IF(S509=0, -1, R509/S509)</f>
        <v/>
      </c>
    </row>
    <row r="510">
      <c r="A510" t="inlineStr">
        <is>
          <t>RC00517</t>
        </is>
      </c>
      <c r="B510" t="inlineStr">
        <is>
          <t>安阳师范学院</t>
        </is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172.4089861158398</v>
      </c>
      <c r="N510" t="n">
        <v>4.174387269895637</v>
      </c>
      <c r="O510">
        <f>IF(N510=0, 0, M510/N510)</f>
        <v/>
      </c>
      <c r="P510">
        <f>RANK(O510, O$2:O$518, 0)</f>
        <v/>
      </c>
      <c r="Q510">
        <f>SUM(C510,F510)</f>
        <v/>
      </c>
      <c r="R510">
        <f>SUM(Q510,G510,H510,D510,E510)</f>
        <v/>
      </c>
      <c r="S510">
        <f>SUM(R510,I510,J510,K510,L510)</f>
        <v/>
      </c>
      <c r="T510">
        <f>IF(R510=0, -1, Q510/R510)</f>
        <v/>
      </c>
      <c r="U510">
        <f>IF(S510=0, -1, Q510/S510)</f>
        <v/>
      </c>
      <c r="V510">
        <f>IF(S510=0, -1, R510/S510)</f>
        <v/>
      </c>
    </row>
    <row r="511">
      <c r="A511" t="inlineStr">
        <is>
          <t>RC00409</t>
        </is>
      </c>
      <c r="B511" t="inlineStr">
        <is>
          <t>安庆师范大学</t>
        </is>
      </c>
      <c r="C511" t="n">
        <v>0</v>
      </c>
      <c r="D511" t="n">
        <v>1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317.1402858621336</v>
      </c>
      <c r="N511" t="n">
        <v>1.945910149055313</v>
      </c>
      <c r="O511">
        <f>IF(N511=0, 0, M511/N511)</f>
        <v/>
      </c>
      <c r="P511">
        <f>RANK(O511, O$2:O$518, 0)</f>
        <v/>
      </c>
      <c r="Q511">
        <f>SUM(C511,F511)</f>
        <v/>
      </c>
      <c r="R511">
        <f>SUM(Q511,G511,H511,D511,E511)</f>
        <v/>
      </c>
      <c r="S511">
        <f>SUM(R511,I511,J511,K511,L511)</f>
        <v/>
      </c>
      <c r="T511">
        <f>IF(R511=0, -1, Q511/R511)</f>
        <v/>
      </c>
      <c r="U511">
        <f>IF(S511=0, -1, Q511/S511)</f>
        <v/>
      </c>
      <c r="V511">
        <f>IF(S511=0, -1, R511/S511)</f>
        <v/>
      </c>
    </row>
    <row r="512">
      <c r="A512" t="inlineStr">
        <is>
          <t>RC00550</t>
        </is>
      </c>
      <c r="B512" t="inlineStr">
        <is>
          <t>湖北美术学院</t>
        </is>
      </c>
      <c r="C512" t="n">
        <v>0</v>
      </c>
      <c r="D512" t="n">
        <v>0</v>
      </c>
      <c r="E512" t="n">
        <v>0</v>
      </c>
      <c r="F512" t="n">
        <v>0</v>
      </c>
      <c r="G512" t="n">
        <v>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1485.411764827374</v>
      </c>
      <c r="N512" t="n">
        <v>8.988196320995057</v>
      </c>
      <c r="O512">
        <f>IF(N512=0, 0, M512/N512)</f>
        <v/>
      </c>
      <c r="P512">
        <f>RANK(O512, O$2:O$518, 0)</f>
        <v/>
      </c>
      <c r="Q512">
        <f>SUM(C512,F512)</f>
        <v/>
      </c>
      <c r="R512">
        <f>SUM(Q512,G512,H512,D512,E512)</f>
        <v/>
      </c>
      <c r="S512">
        <f>SUM(R512,I512,J512,K512,L512)</f>
        <v/>
      </c>
      <c r="T512">
        <f>IF(R512=0, -1, Q512/R512)</f>
        <v/>
      </c>
      <c r="U512">
        <f>IF(S512=0, -1, Q512/S512)</f>
        <v/>
      </c>
      <c r="V512">
        <f>IF(S512=0, -1, R512/S512)</f>
        <v/>
      </c>
    </row>
    <row r="513">
      <c r="A513" t="inlineStr">
        <is>
          <t>RC00272</t>
        </is>
      </c>
      <c r="B513" t="inlineStr">
        <is>
          <t>鲁迅美术学院</t>
        </is>
      </c>
      <c r="C513" t="n">
        <v>0</v>
      </c>
      <c r="D513" t="n">
        <v>0</v>
      </c>
      <c r="E513" t="n">
        <v>0</v>
      </c>
      <c r="F513" t="n">
        <v>0</v>
      </c>
      <c r="G513" t="n">
        <v>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1791.871177405672</v>
      </c>
      <c r="N513" t="n">
        <v>8.988196320995057</v>
      </c>
      <c r="O513">
        <f>IF(N513=0, 0, M513/N513)</f>
        <v/>
      </c>
      <c r="P513">
        <f>RANK(O513, O$2:O$518, 0)</f>
        <v/>
      </c>
      <c r="Q513">
        <f>SUM(C513,F513)</f>
        <v/>
      </c>
      <c r="R513">
        <f>SUM(Q513,G513,H513,D513,E513)</f>
        <v/>
      </c>
      <c r="S513">
        <f>SUM(R513,I513,J513,K513,L513)</f>
        <v/>
      </c>
      <c r="T513">
        <f>IF(R513=0, -1, Q513/R513)</f>
        <v/>
      </c>
      <c r="U513">
        <f>IF(S513=0, -1, Q513/S513)</f>
        <v/>
      </c>
      <c r="V513">
        <f>IF(S513=0, -1, R513/S513)</f>
        <v/>
      </c>
    </row>
    <row r="514">
      <c r="A514" t="inlineStr">
        <is>
          <t>RC00520</t>
        </is>
      </c>
      <c r="B514" t="inlineStr">
        <is>
          <t>洛阳师范学院</t>
        </is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1</v>
      </c>
      <c r="L514" t="n">
        <v>0</v>
      </c>
      <c r="M514" t="n">
        <v>204.4446034008313</v>
      </c>
      <c r="N514" t="n">
        <v>4.477336814478207</v>
      </c>
      <c r="O514">
        <f>IF(N514=0, 0, M514/N514)</f>
        <v/>
      </c>
      <c r="P514">
        <f>RANK(O514, O$2:O$518, 0)</f>
        <v/>
      </c>
      <c r="Q514">
        <f>SUM(C514,F514)</f>
        <v/>
      </c>
      <c r="R514">
        <f>SUM(Q514,G514,H514,D514,E514)</f>
        <v/>
      </c>
      <c r="S514">
        <f>SUM(R514,I514,J514,K514,L514)</f>
        <v/>
      </c>
      <c r="T514">
        <f>IF(R514=0, -1, Q514/R514)</f>
        <v/>
      </c>
      <c r="U514">
        <f>IF(S514=0, -1, Q514/S514)</f>
        <v/>
      </c>
      <c r="V514">
        <f>IF(S514=0, -1, R514/S514)</f>
        <v/>
      </c>
    </row>
    <row r="515">
      <c r="A515" t="inlineStr">
        <is>
          <t>RC01048</t>
        </is>
      </c>
      <c r="B515" t="inlineStr">
        <is>
          <t>浙大城市学院</t>
        </is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149.9194862900924</v>
      </c>
      <c r="N515" t="n">
        <v>3.610917912644224</v>
      </c>
      <c r="O515">
        <f>IF(N515=0, 0, M515/N515)</f>
        <v/>
      </c>
      <c r="P515">
        <f>RANK(O515, O$2:O$518, 0)</f>
        <v/>
      </c>
      <c r="Q515">
        <f>SUM(C515,F515)</f>
        <v/>
      </c>
      <c r="R515">
        <f>SUM(Q515,G515,H515,D515,E515)</f>
        <v/>
      </c>
      <c r="S515">
        <f>SUM(R515,I515,J515,K515,L515)</f>
        <v/>
      </c>
      <c r="T515">
        <f>IF(R515=0, -1, Q515/R515)</f>
        <v/>
      </c>
      <c r="U515">
        <f>IF(S515=0, -1, Q515/S515)</f>
        <v/>
      </c>
      <c r="V515">
        <f>IF(S515=0, -1, R515/S515)</f>
        <v/>
      </c>
    </row>
    <row r="516">
      <c r="A516" t="inlineStr">
        <is>
          <t>RC00399</t>
        </is>
      </c>
      <c r="B516" t="inlineStr">
        <is>
          <t>浙江外国语学院</t>
        </is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629.1760114074674</v>
      </c>
      <c r="N516" t="n">
        <v>3.178053830347946</v>
      </c>
      <c r="O516">
        <f>IF(N516=0, 0, M516/N516)</f>
        <v/>
      </c>
      <c r="P516">
        <f>RANK(O516, O$2:O$518, 0)</f>
        <v/>
      </c>
      <c r="Q516">
        <f>SUM(C516,F516)</f>
        <v/>
      </c>
      <c r="R516">
        <f>SUM(Q516,G516,H516,D516,E516)</f>
        <v/>
      </c>
      <c r="S516">
        <f>SUM(R516,I516,J516,K516,L516)</f>
        <v/>
      </c>
      <c r="T516">
        <f>IF(R516=0, -1, Q516/R516)</f>
        <v/>
      </c>
      <c r="U516">
        <f>IF(S516=0, -1, Q516/S516)</f>
        <v/>
      </c>
      <c r="V516">
        <f>IF(S516=0, -1, R516/S516)</f>
        <v/>
      </c>
    </row>
    <row r="517">
      <c r="A517" t="inlineStr">
        <is>
          <t>RC00620</t>
        </is>
      </c>
      <c r="B517" t="inlineStr">
        <is>
          <t>广西科技大学</t>
        </is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196.6175035648335</v>
      </c>
      <c r="N517" t="n">
        <v>3.178053830347946</v>
      </c>
      <c r="O517">
        <f>IF(N517=0, 0, M517/N517)</f>
        <v/>
      </c>
      <c r="P517">
        <f>RANK(O517, O$2:O$518, 0)</f>
        <v/>
      </c>
      <c r="Q517">
        <f>SUM(C517,F517)</f>
        <v/>
      </c>
      <c r="R517">
        <f>SUM(Q517,G517,H517,D517,E517)</f>
        <v/>
      </c>
      <c r="S517">
        <f>SUM(R517,I517,J517,K517,L517)</f>
        <v/>
      </c>
      <c r="T517">
        <f>IF(R517=0, -1, Q517/R517)</f>
        <v/>
      </c>
      <c r="U517">
        <f>IF(S517=0, -1, Q517/S517)</f>
        <v/>
      </c>
      <c r="V517">
        <f>IF(S517=0, -1, R517/S517)</f>
        <v/>
      </c>
    </row>
    <row r="518">
      <c r="A518" t="inlineStr">
        <is>
          <t>RC00410</t>
        </is>
      </c>
      <c r="B518" t="inlineStr">
        <is>
          <t>淮北师范大学</t>
        </is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196.6175035648335</v>
      </c>
      <c r="N518" t="n">
        <v>3.178053830347946</v>
      </c>
      <c r="O518">
        <f>IF(N518=0, 0, M518/N518)</f>
        <v/>
      </c>
      <c r="P518">
        <f>RANK(O518, O$2:O$518, 0)</f>
        <v/>
      </c>
      <c r="Q518">
        <f>SUM(C518,F518)</f>
        <v/>
      </c>
      <c r="R518">
        <f>SUM(Q518,G518,H518,D518,E518)</f>
        <v/>
      </c>
      <c r="S518">
        <f>SUM(R518,I518,J518,K518,L518)</f>
        <v/>
      </c>
      <c r="T518">
        <f>IF(R518=0, -1, Q518/R518)</f>
        <v/>
      </c>
      <c r="U518">
        <f>IF(S518=0, -1, Q518/S518)</f>
        <v/>
      </c>
      <c r="V518">
        <f>IF(S518=0, -1, R518/S518)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院校代码</t>
        </is>
      </c>
      <c r="B1" s="1" t="inlineStr">
        <is>
          <t>院校名称</t>
        </is>
      </c>
      <c r="C1" s="1" t="inlineStr">
        <is>
          <t>A+</t>
        </is>
      </c>
      <c r="D1" s="1" t="inlineStr">
        <is>
          <t>A</t>
        </is>
      </c>
      <c r="E1" s="1" t="inlineStr">
        <is>
          <t>B+</t>
        </is>
      </c>
      <c r="F1" s="1" t="inlineStr">
        <is>
          <t>B</t>
        </is>
      </c>
      <c r="G1" s="1" t="inlineStr">
        <is>
          <t>总得分</t>
        </is>
      </c>
      <c r="H1" s="1" t="inlineStr">
        <is>
          <t>权重</t>
        </is>
      </c>
      <c r="I1" s="1" t="inlineStr">
        <is>
          <t>最终得分</t>
        </is>
      </c>
      <c r="J1" s="1" t="inlineStr">
        <is>
          <t>最终排名</t>
        </is>
      </c>
      <c r="K1" s="1" t="inlineStr">
        <is>
          <t>A+专业</t>
        </is>
      </c>
      <c r="L1" s="1" t="inlineStr">
        <is>
          <t>A类专业</t>
        </is>
      </c>
      <c r="M1" s="1" t="inlineStr">
        <is>
          <t>上榜专业</t>
        </is>
      </c>
      <c r="N1" s="1" t="inlineStr">
        <is>
          <t>A+比A类</t>
        </is>
      </c>
      <c r="O1" s="1" t="inlineStr">
        <is>
          <t>A+比上榜</t>
        </is>
      </c>
      <c r="P1" s="1" t="inlineStr">
        <is>
          <t>A类比上榜</t>
        </is>
      </c>
    </row>
    <row r="2">
      <c r="A2" t="inlineStr">
        <is>
          <t>RC00002</t>
        </is>
      </c>
      <c r="B2" t="inlineStr">
        <is>
          <t>北京大学</t>
        </is>
      </c>
      <c r="C2" t="n">
        <v>94</v>
      </c>
      <c r="D2" t="n">
        <v>17</v>
      </c>
      <c r="E2" t="n">
        <v>8</v>
      </c>
      <c r="F2" t="n">
        <v>1</v>
      </c>
      <c r="G2" t="n">
        <v>425003.9970494941</v>
      </c>
      <c r="H2" t="n">
        <v>459.2041975968916</v>
      </c>
      <c r="I2">
        <f>IF(H2=0, 0, G2/H2)</f>
        <v/>
      </c>
      <c r="J2">
        <f>RANK(I2, I$2:I$1111, 0)</f>
        <v/>
      </c>
      <c r="K2">
        <f>SUM(C2)</f>
        <v/>
      </c>
      <c r="L2">
        <f>SUM(K2,D2)</f>
        <v/>
      </c>
      <c r="M2">
        <f>SUM(L2,E2,F2)</f>
        <v/>
      </c>
      <c r="N2">
        <f>IF(L2=0, -1, K2/L2)</f>
        <v/>
      </c>
      <c r="O2">
        <f>IF(M2=0, -1, K2/M2)</f>
        <v/>
      </c>
      <c r="P2">
        <f>IF(M2=0, -1, L2/M2)</f>
        <v/>
      </c>
    </row>
    <row r="3">
      <c r="A3" t="inlineStr">
        <is>
          <t>RC00004</t>
        </is>
      </c>
      <c r="B3" t="inlineStr">
        <is>
          <t>复旦大学</t>
        </is>
      </c>
      <c r="C3" t="n">
        <v>39</v>
      </c>
      <c r="D3" t="n">
        <v>30</v>
      </c>
      <c r="E3" t="n">
        <v>5</v>
      </c>
      <c r="F3" t="n">
        <v>2</v>
      </c>
      <c r="G3" t="n">
        <v>307339.7589674573</v>
      </c>
      <c r="H3" t="n">
        <v>341.1866257348247</v>
      </c>
      <c r="I3">
        <f>IF(H3=0, 0, G3/H3)</f>
        <v/>
      </c>
      <c r="J3">
        <f>RANK(I3, I$2:I$1111, 0)</f>
        <v/>
      </c>
      <c r="K3">
        <f>SUM(C3)</f>
        <v/>
      </c>
      <c r="L3">
        <f>SUM(K3,D3)</f>
        <v/>
      </c>
      <c r="M3">
        <f>SUM(L3,E3,F3)</f>
        <v/>
      </c>
      <c r="N3">
        <f>IF(L3=0, -1, K3/L3)</f>
        <v/>
      </c>
      <c r="O3">
        <f>IF(M3=0, -1, K3/M3)</f>
        <v/>
      </c>
      <c r="P3">
        <f>IF(M3=0, -1, L3/M3)</f>
        <v/>
      </c>
    </row>
    <row r="4">
      <c r="A4" t="inlineStr">
        <is>
          <t>RC00085</t>
        </is>
      </c>
      <c r="B4" t="inlineStr">
        <is>
          <t>中国人民大学</t>
        </is>
      </c>
      <c r="C4" t="n">
        <v>43</v>
      </c>
      <c r="D4" t="n">
        <v>21</v>
      </c>
      <c r="E4" t="n">
        <v>15</v>
      </c>
      <c r="F4" t="n">
        <v>1</v>
      </c>
      <c r="G4" t="n">
        <v>298801.7689290476</v>
      </c>
      <c r="H4" t="n">
        <v>341.8649977263857</v>
      </c>
      <c r="I4">
        <f>IF(H4=0, 0, G4/H4)</f>
        <v/>
      </c>
      <c r="J4">
        <f>RANK(I4, I$2:I$1111, 0)</f>
        <v/>
      </c>
      <c r="K4">
        <f>SUM(C4)</f>
        <v/>
      </c>
      <c r="L4">
        <f>SUM(K4,D4)</f>
        <v/>
      </c>
      <c r="M4">
        <f>SUM(L4,E4,F4)</f>
        <v/>
      </c>
      <c r="N4">
        <f>IF(L4=0, -1, K4/L4)</f>
        <v/>
      </c>
      <c r="O4">
        <f>IF(M4=0, -1, K4/M4)</f>
        <v/>
      </c>
      <c r="P4">
        <f>IF(M4=0, -1, L4/M4)</f>
        <v/>
      </c>
    </row>
    <row r="5">
      <c r="A5" t="inlineStr">
        <is>
          <t>RC00001</t>
        </is>
      </c>
      <c r="B5" t="inlineStr">
        <is>
          <t>清华大学</t>
        </is>
      </c>
      <c r="C5" t="n">
        <v>56</v>
      </c>
      <c r="D5" t="n">
        <v>15</v>
      </c>
      <c r="E5" t="n">
        <v>3</v>
      </c>
      <c r="F5" t="n">
        <v>0</v>
      </c>
      <c r="G5" t="n">
        <v>307824.2190566653</v>
      </c>
      <c r="H5" t="n">
        <v>323.7458659381734</v>
      </c>
      <c r="I5">
        <f>IF(H5=0, 0, G5/H5)</f>
        <v/>
      </c>
      <c r="J5">
        <f>RANK(I5, I$2:I$1111, 0)</f>
        <v/>
      </c>
      <c r="K5">
        <f>SUM(C5)</f>
        <v/>
      </c>
      <c r="L5">
        <f>SUM(K5,D5)</f>
        <v/>
      </c>
      <c r="M5">
        <f>SUM(L5,E5,F5)</f>
        <v/>
      </c>
      <c r="N5">
        <f>IF(L5=0, -1, K5/L5)</f>
        <v/>
      </c>
      <c r="O5">
        <f>IF(M5=0, -1, K5/M5)</f>
        <v/>
      </c>
      <c r="P5">
        <f>IF(M5=0, -1, L5/M5)</f>
        <v/>
      </c>
    </row>
    <row r="6">
      <c r="A6" t="inlineStr">
        <is>
          <t>RC00009</t>
        </is>
      </c>
      <c r="B6" t="inlineStr">
        <is>
          <t>南京大学</t>
        </is>
      </c>
      <c r="C6" t="n">
        <v>36</v>
      </c>
      <c r="D6" t="n">
        <v>34</v>
      </c>
      <c r="E6" t="n">
        <v>14</v>
      </c>
      <c r="F6" t="n">
        <v>2</v>
      </c>
      <c r="G6" t="n">
        <v>332222.5076915254</v>
      </c>
      <c r="H6" t="n">
        <v>383.1162964391516</v>
      </c>
      <c r="I6">
        <f>IF(H6=0, 0, G6/H6)</f>
        <v/>
      </c>
      <c r="J6">
        <f>RANK(I6, I$2:I$1111, 0)</f>
        <v/>
      </c>
      <c r="K6">
        <f>SUM(C6)</f>
        <v/>
      </c>
      <c r="L6">
        <f>SUM(K6,D6)</f>
        <v/>
      </c>
      <c r="M6">
        <f>SUM(L6,E6,F6)</f>
        <v/>
      </c>
      <c r="N6">
        <f>IF(L6=0, -1, K6/L6)</f>
        <v/>
      </c>
      <c r="O6">
        <f>IF(M6=0, -1, K6/M6)</f>
        <v/>
      </c>
      <c r="P6">
        <f>IF(M6=0, -1, L6/M6)</f>
        <v/>
      </c>
    </row>
    <row r="7">
      <c r="A7" t="inlineStr">
        <is>
          <t>RC00014</t>
        </is>
      </c>
      <c r="B7" t="inlineStr">
        <is>
          <t>北京师范大学</t>
        </is>
      </c>
      <c r="C7" t="n">
        <v>27</v>
      </c>
      <c r="D7" t="n">
        <v>27</v>
      </c>
      <c r="E7" t="n">
        <v>3</v>
      </c>
      <c r="F7" t="n">
        <v>3</v>
      </c>
      <c r="G7" t="n">
        <v>235855.019088013</v>
      </c>
      <c r="H7" t="n">
        <v>273.5896651858634</v>
      </c>
      <c r="I7">
        <f>IF(H7=0, 0, G7/H7)</f>
        <v/>
      </c>
      <c r="J7">
        <f>RANK(I7, I$2:I$1111, 0)</f>
        <v/>
      </c>
      <c r="K7">
        <f>SUM(C7)</f>
        <v/>
      </c>
      <c r="L7">
        <f>SUM(K7,D7)</f>
        <v/>
      </c>
      <c r="M7">
        <f>SUM(L7,E7,F7)</f>
        <v/>
      </c>
      <c r="N7">
        <f>IF(L7=0, -1, K7/L7)</f>
        <v/>
      </c>
      <c r="O7">
        <f>IF(M7=0, -1, K7/M7)</f>
        <v/>
      </c>
      <c r="P7">
        <f>IF(M7=0, -1, L7/M7)</f>
        <v/>
      </c>
    </row>
    <row r="8">
      <c r="A8" t="inlineStr">
        <is>
          <t>RC00003</t>
        </is>
      </c>
      <c r="B8" t="inlineStr">
        <is>
          <t>浙江大学</t>
        </is>
      </c>
      <c r="C8" t="n">
        <v>41</v>
      </c>
      <c r="D8" t="n">
        <v>40</v>
      </c>
      <c r="E8" t="n">
        <v>15</v>
      </c>
      <c r="F8" t="n">
        <v>2</v>
      </c>
      <c r="G8" t="n">
        <v>365678.6695012825</v>
      </c>
      <c r="H8" t="n">
        <v>419.8333509290987</v>
      </c>
      <c r="I8">
        <f>IF(H8=0, 0, G8/H8)</f>
        <v/>
      </c>
      <c r="J8">
        <f>RANK(I8, I$2:I$1111, 0)</f>
        <v/>
      </c>
      <c r="K8">
        <f>SUM(C8)</f>
        <v/>
      </c>
      <c r="L8">
        <f>SUM(K8,D8)</f>
        <v/>
      </c>
      <c r="M8">
        <f>SUM(L8,E8,F8)</f>
        <v/>
      </c>
      <c r="N8">
        <f>IF(L8=0, -1, K8/L8)</f>
        <v/>
      </c>
      <c r="O8">
        <f>IF(M8=0, -1, K8/M8)</f>
        <v/>
      </c>
      <c r="P8">
        <f>IF(M8=0, -1, L8/M8)</f>
        <v/>
      </c>
    </row>
    <row r="9">
      <c r="A9" t="inlineStr">
        <is>
          <t>RC00020</t>
        </is>
      </c>
      <c r="B9" t="inlineStr">
        <is>
          <t>武汉大学</t>
        </is>
      </c>
      <c r="C9" t="n">
        <v>29</v>
      </c>
      <c r="D9" t="n">
        <v>55</v>
      </c>
      <c r="E9" t="n">
        <v>25</v>
      </c>
      <c r="F9" t="n">
        <v>3</v>
      </c>
      <c r="G9" t="n">
        <v>410051.4204991832</v>
      </c>
      <c r="H9" t="n">
        <v>500.1420907762313</v>
      </c>
      <c r="I9">
        <f>IF(H9=0, 0, G9/H9)</f>
        <v/>
      </c>
      <c r="J9">
        <f>RANK(I9, I$2:I$1111, 0)</f>
        <v/>
      </c>
      <c r="K9">
        <f>SUM(C9)</f>
        <v/>
      </c>
      <c r="L9">
        <f>SUM(K9,D9)</f>
        <v/>
      </c>
      <c r="M9">
        <f>SUM(L9,E9,F9)</f>
        <v/>
      </c>
      <c r="N9">
        <f>IF(L9=0, -1, K9/L9)</f>
        <v/>
      </c>
      <c r="O9">
        <f>IF(M9=0, -1, K9/M9)</f>
        <v/>
      </c>
      <c r="P9">
        <f>IF(M9=0, -1, L9/M9)</f>
        <v/>
      </c>
    </row>
    <row r="10">
      <c r="A10" t="inlineStr">
        <is>
          <t>RC00007</t>
        </is>
      </c>
      <c r="B10" t="inlineStr">
        <is>
          <t>中山大学</t>
        </is>
      </c>
      <c r="C10" t="n">
        <v>12</v>
      </c>
      <c r="D10" t="n">
        <v>55</v>
      </c>
      <c r="E10" t="n">
        <v>25</v>
      </c>
      <c r="F10" t="n">
        <v>5</v>
      </c>
      <c r="G10" t="n">
        <v>325512.3573874735</v>
      </c>
      <c r="H10" t="n">
        <v>403.5462205330184</v>
      </c>
      <c r="I10">
        <f>IF(H10=0, 0, G10/H10)</f>
        <v/>
      </c>
      <c r="J10">
        <f>RANK(I10, I$2:I$1111, 0)</f>
        <v/>
      </c>
      <c r="K10">
        <f>SUM(C10)</f>
        <v/>
      </c>
      <c r="L10">
        <f>SUM(K10,D10)</f>
        <v/>
      </c>
      <c r="M10">
        <f>SUM(L10,E10,F10)</f>
        <v/>
      </c>
      <c r="N10">
        <f>IF(L10=0, -1, K10/L10)</f>
        <v/>
      </c>
      <c r="O10">
        <f>IF(M10=0, -1, K10/M10)</f>
        <v/>
      </c>
      <c r="P10">
        <f>IF(M10=0, -1, L10/M10)</f>
        <v/>
      </c>
    </row>
    <row r="11">
      <c r="A11" t="inlineStr">
        <is>
          <t>RC00042</t>
        </is>
      </c>
      <c r="B11" t="inlineStr">
        <is>
          <t>华东师范大学</t>
        </is>
      </c>
      <c r="C11" t="n">
        <v>24</v>
      </c>
      <c r="D11" t="n">
        <v>32</v>
      </c>
      <c r="E11" t="n">
        <v>8</v>
      </c>
      <c r="F11" t="n">
        <v>0</v>
      </c>
      <c r="G11" t="n">
        <v>254917.6382971157</v>
      </c>
      <c r="H11" t="n">
        <v>306.2034338297124</v>
      </c>
      <c r="I11">
        <f>IF(H11=0, 0, G11/H11)</f>
        <v/>
      </c>
      <c r="J11">
        <f>RANK(I11, I$2:I$1111, 0)</f>
        <v/>
      </c>
      <c r="K11">
        <f>SUM(C11)</f>
        <v/>
      </c>
      <c r="L11">
        <f>SUM(K11,D11)</f>
        <v/>
      </c>
      <c r="M11">
        <f>SUM(L11,E11,F11)</f>
        <v/>
      </c>
      <c r="N11">
        <f>IF(L11=0, -1, K11/L11)</f>
        <v/>
      </c>
      <c r="O11">
        <f>IF(M11=0, -1, K11/M11)</f>
        <v/>
      </c>
      <c r="P11">
        <f>IF(M11=0, -1, L11/M11)</f>
        <v/>
      </c>
    </row>
    <row r="12">
      <c r="A12" t="inlineStr">
        <is>
          <t>RC00017</t>
        </is>
      </c>
      <c r="B12" t="inlineStr">
        <is>
          <t>吉林大学</t>
        </is>
      </c>
      <c r="C12" t="n">
        <v>7</v>
      </c>
      <c r="D12" t="n">
        <v>69</v>
      </c>
      <c r="E12" t="n">
        <v>35</v>
      </c>
      <c r="F12" t="n">
        <v>7</v>
      </c>
      <c r="G12" t="n">
        <v>393778.3088035421</v>
      </c>
      <c r="H12" t="n">
        <v>528.1505948694125</v>
      </c>
      <c r="I12">
        <f>IF(H12=0, 0, G12/H12)</f>
        <v/>
      </c>
      <c r="J12">
        <f>RANK(I12, I$2:I$1111, 0)</f>
        <v/>
      </c>
      <c r="K12">
        <f>SUM(C12)</f>
        <v/>
      </c>
      <c r="L12">
        <f>SUM(K12,D12)</f>
        <v/>
      </c>
      <c r="M12">
        <f>SUM(L12,E12,F12)</f>
        <v/>
      </c>
      <c r="N12">
        <f>IF(L12=0, -1, K12/L12)</f>
        <v/>
      </c>
      <c r="O12">
        <f>IF(M12=0, -1, K12/M12)</f>
        <v/>
      </c>
      <c r="P12">
        <f>IF(M12=0, -1, L12/M12)</f>
        <v/>
      </c>
    </row>
    <row r="13">
      <c r="A13" t="inlineStr">
        <is>
          <t>RC00025</t>
        </is>
      </c>
      <c r="B13" t="inlineStr">
        <is>
          <t>南开大学</t>
        </is>
      </c>
      <c r="C13" t="n">
        <v>24</v>
      </c>
      <c r="D13" t="n">
        <v>37</v>
      </c>
      <c r="E13" t="n">
        <v>19</v>
      </c>
      <c r="F13" t="n">
        <v>4</v>
      </c>
      <c r="G13" t="n">
        <v>306444.813628691</v>
      </c>
      <c r="H13" t="n">
        <v>373.049280324567</v>
      </c>
      <c r="I13">
        <f>IF(H13=0, 0, G13/H13)</f>
        <v/>
      </c>
      <c r="J13">
        <f>RANK(I13, I$2:I$1111, 0)</f>
        <v/>
      </c>
      <c r="K13">
        <f>SUM(C13)</f>
        <v/>
      </c>
      <c r="L13">
        <f>SUM(K13,D13)</f>
        <v/>
      </c>
      <c r="M13">
        <f>SUM(L13,E13,F13)</f>
        <v/>
      </c>
      <c r="N13">
        <f>IF(L13=0, -1, K13/L13)</f>
        <v/>
      </c>
      <c r="O13">
        <f>IF(M13=0, -1, K13/M13)</f>
        <v/>
      </c>
      <c r="P13">
        <f>IF(M13=0, -1, L13/M13)</f>
        <v/>
      </c>
    </row>
    <row r="14">
      <c r="A14" t="inlineStr">
        <is>
          <t>RC00018</t>
        </is>
      </c>
      <c r="B14" t="inlineStr">
        <is>
          <t>东南大学</t>
        </is>
      </c>
      <c r="C14" t="n">
        <v>27</v>
      </c>
      <c r="D14" t="n">
        <v>35</v>
      </c>
      <c r="E14" t="n">
        <v>14</v>
      </c>
      <c r="F14" t="n">
        <v>0</v>
      </c>
      <c r="G14" t="n">
        <v>297186.9990331147</v>
      </c>
      <c r="H14" t="n">
        <v>353.8776747483111</v>
      </c>
      <c r="I14">
        <f>IF(H14=0, 0, G14/H14)</f>
        <v/>
      </c>
      <c r="J14">
        <f>RANK(I14, I$2:I$1111, 0)</f>
        <v/>
      </c>
      <c r="K14">
        <f>SUM(C14)</f>
        <v/>
      </c>
      <c r="L14">
        <f>SUM(K14,D14)</f>
        <v/>
      </c>
      <c r="M14">
        <f>SUM(L14,E14,F14)</f>
        <v/>
      </c>
      <c r="N14">
        <f>IF(L14=0, -1, K14/L14)</f>
        <v/>
      </c>
      <c r="O14">
        <f>IF(M14=0, -1, K14/M14)</f>
        <v/>
      </c>
      <c r="P14">
        <f>IF(M14=0, -1, L14/M14)</f>
        <v/>
      </c>
    </row>
    <row r="15">
      <c r="A15" t="inlineStr">
        <is>
          <t>RC00010</t>
        </is>
      </c>
      <c r="B15" t="inlineStr">
        <is>
          <t>华中科技大学</t>
        </is>
      </c>
      <c r="C15" t="n">
        <v>22</v>
      </c>
      <c r="D15" t="n">
        <v>60</v>
      </c>
      <c r="E15" t="n">
        <v>20</v>
      </c>
      <c r="F15" t="n">
        <v>2</v>
      </c>
      <c r="G15" t="n">
        <v>391467.9896866113</v>
      </c>
      <c r="H15" t="n">
        <v>481.9695199636656</v>
      </c>
      <c r="I15">
        <f>IF(H15=0, 0, G15/H15)</f>
        <v/>
      </c>
      <c r="J15">
        <f>RANK(I15, I$2:I$1111, 0)</f>
        <v/>
      </c>
      <c r="K15">
        <f>SUM(C15)</f>
        <v/>
      </c>
      <c r="L15">
        <f>SUM(K15,D15)</f>
        <v/>
      </c>
      <c r="M15">
        <f>SUM(L15,E15,F15)</f>
        <v/>
      </c>
      <c r="N15">
        <f>IF(L15=0, -1, K15/L15)</f>
        <v/>
      </c>
      <c r="O15">
        <f>IF(M15=0, -1, K15/M15)</f>
        <v/>
      </c>
      <c r="P15">
        <f>IF(M15=0, -1, L15/M15)</f>
        <v/>
      </c>
    </row>
    <row r="16">
      <c r="A16" t="inlineStr">
        <is>
          <t>RC00012</t>
        </is>
      </c>
      <c r="B16" t="inlineStr">
        <is>
          <t>西安交通大学</t>
        </is>
      </c>
      <c r="C16" t="n">
        <v>24</v>
      </c>
      <c r="D16" t="n">
        <v>37</v>
      </c>
      <c r="E16" t="n">
        <v>13</v>
      </c>
      <c r="F16" t="n">
        <v>1</v>
      </c>
      <c r="G16" t="n">
        <v>287021.1225926072</v>
      </c>
      <c r="H16" t="n">
        <v>343.4276858793805</v>
      </c>
      <c r="I16">
        <f>IF(H16=0, 0, G16/H16)</f>
        <v/>
      </c>
      <c r="J16">
        <f>RANK(I16, I$2:I$1111, 0)</f>
        <v/>
      </c>
      <c r="K16">
        <f>SUM(C16)</f>
        <v/>
      </c>
      <c r="L16">
        <f>SUM(K16,D16)</f>
        <v/>
      </c>
      <c r="M16">
        <f>SUM(L16,E16,F16)</f>
        <v/>
      </c>
      <c r="N16">
        <f>IF(L16=0, -1, K16/L16)</f>
        <v/>
      </c>
      <c r="O16">
        <f>IF(M16=0, -1, K16/M16)</f>
        <v/>
      </c>
      <c r="P16">
        <f>IF(M16=0, -1, L16/M16)</f>
        <v/>
      </c>
    </row>
    <row r="17">
      <c r="A17" t="inlineStr">
        <is>
          <t>RC00030</t>
        </is>
      </c>
      <c r="B17" t="inlineStr">
        <is>
          <t>厦门大学</t>
        </is>
      </c>
      <c r="C17" t="n">
        <v>23</v>
      </c>
      <c r="D17" t="n">
        <v>46</v>
      </c>
      <c r="E17" t="n">
        <v>22</v>
      </c>
      <c r="F17" t="n">
        <v>4</v>
      </c>
      <c r="G17" t="n">
        <v>344241.5377427553</v>
      </c>
      <c r="H17" t="n">
        <v>439.6101502217014</v>
      </c>
      <c r="I17">
        <f>IF(H17=0, 0, G17/H17)</f>
        <v/>
      </c>
      <c r="J17">
        <f>RANK(I17, I$2:I$1111, 0)</f>
        <v/>
      </c>
      <c r="K17">
        <f>SUM(C17)</f>
        <v/>
      </c>
      <c r="L17">
        <f>SUM(K17,D17)</f>
        <v/>
      </c>
      <c r="M17">
        <f>SUM(L17,E17,F17)</f>
        <v/>
      </c>
      <c r="N17">
        <f>IF(L17=0, -1, K17/L17)</f>
        <v/>
      </c>
      <c r="O17">
        <f>IF(M17=0, -1, K17/M17)</f>
        <v/>
      </c>
      <c r="P17">
        <f>IF(M17=0, -1, L17/M17)</f>
        <v/>
      </c>
    </row>
    <row r="18">
      <c r="A18" t="inlineStr">
        <is>
          <t>RC00011</t>
        </is>
      </c>
      <c r="B18" t="inlineStr">
        <is>
          <t>四川大学</t>
        </is>
      </c>
      <c r="C18" t="n">
        <v>31</v>
      </c>
      <c r="D18" t="n">
        <v>48</v>
      </c>
      <c r="E18" t="n">
        <v>22</v>
      </c>
      <c r="F18" t="n">
        <v>4</v>
      </c>
      <c r="G18" t="n">
        <v>386852.223025795</v>
      </c>
      <c r="H18" t="n">
        <v>477.2273123209235</v>
      </c>
      <c r="I18">
        <f>IF(H18=0, 0, G18/H18)</f>
        <v/>
      </c>
      <c r="J18">
        <f>RANK(I18, I$2:I$1111, 0)</f>
        <v/>
      </c>
      <c r="K18">
        <f>SUM(C18)</f>
        <v/>
      </c>
      <c r="L18">
        <f>SUM(K18,D18)</f>
        <v/>
      </c>
      <c r="M18">
        <f>SUM(L18,E18,F18)</f>
        <v/>
      </c>
      <c r="N18">
        <f>IF(L18=0, -1, K18/L18)</f>
        <v/>
      </c>
      <c r="O18">
        <f>IF(M18=0, -1, K18/M18)</f>
        <v/>
      </c>
      <c r="P18">
        <f>IF(M18=0, -1, L18/M18)</f>
        <v/>
      </c>
    </row>
    <row r="19">
      <c r="A19" t="inlineStr">
        <is>
          <t>RC00026</t>
        </is>
      </c>
      <c r="B19" t="inlineStr">
        <is>
          <t>同济大学</t>
        </is>
      </c>
      <c r="C19" t="n">
        <v>31</v>
      </c>
      <c r="D19" t="n">
        <v>25</v>
      </c>
      <c r="E19" t="n">
        <v>13</v>
      </c>
      <c r="F19" t="n">
        <v>3</v>
      </c>
      <c r="G19" t="n">
        <v>277978.2656626797</v>
      </c>
      <c r="H19" t="n">
        <v>337.2286964098304</v>
      </c>
      <c r="I19">
        <f>IF(H19=0, 0, G19/H19)</f>
        <v/>
      </c>
      <c r="J19">
        <f>RANK(I19, I$2:I$1111, 0)</f>
        <v/>
      </c>
      <c r="K19">
        <f>SUM(C19)</f>
        <v/>
      </c>
      <c r="L19">
        <f>SUM(K19,D19)</f>
        <v/>
      </c>
      <c r="M19">
        <f>SUM(L19,E19,F19)</f>
        <v/>
      </c>
      <c r="N19">
        <f>IF(L19=0, -1, K19/L19)</f>
        <v/>
      </c>
      <c r="O19">
        <f>IF(M19=0, -1, K19/M19)</f>
        <v/>
      </c>
      <c r="P19">
        <f>IF(M19=0, -1, L19/M19)</f>
        <v/>
      </c>
    </row>
    <row r="20">
      <c r="A20" t="inlineStr">
        <is>
          <t>RC00031</t>
        </is>
      </c>
      <c r="B20" t="inlineStr">
        <is>
          <t>山东大学</t>
        </is>
      </c>
      <c r="C20" t="n">
        <v>12</v>
      </c>
      <c r="D20" t="n">
        <v>61</v>
      </c>
      <c r="E20" t="n">
        <v>19</v>
      </c>
      <c r="F20" t="n">
        <v>3</v>
      </c>
      <c r="G20" t="n">
        <v>335062.0464388455</v>
      </c>
      <c r="H20" t="n">
        <v>424.5010785271607</v>
      </c>
      <c r="I20">
        <f>IF(H20=0, 0, G20/H20)</f>
        <v/>
      </c>
      <c r="J20">
        <f>RANK(I20, I$2:I$1111, 0)</f>
        <v/>
      </c>
      <c r="K20">
        <f>SUM(C20)</f>
        <v/>
      </c>
      <c r="L20">
        <f>SUM(K20,D20)</f>
        <v/>
      </c>
      <c r="M20">
        <f>SUM(L20,E20,F20)</f>
        <v/>
      </c>
      <c r="N20">
        <f>IF(L20=0, -1, K20/L20)</f>
        <v/>
      </c>
      <c r="O20">
        <f>IF(M20=0, -1, K20/M20)</f>
        <v/>
      </c>
      <c r="P20">
        <f>IF(M20=0, -1, L20/M20)</f>
        <v/>
      </c>
    </row>
    <row r="21">
      <c r="A21" t="inlineStr">
        <is>
          <t>RC00155</t>
        </is>
      </c>
      <c r="B21" t="inlineStr">
        <is>
          <t>中国政法大学</t>
        </is>
      </c>
      <c r="C21" t="n">
        <v>1</v>
      </c>
      <c r="D21" t="n">
        <v>9</v>
      </c>
      <c r="E21" t="n">
        <v>12</v>
      </c>
      <c r="F21" t="n">
        <v>4</v>
      </c>
      <c r="G21" t="n">
        <v>81768.55497622189</v>
      </c>
      <c r="H21" t="n">
        <v>126.7156947220141</v>
      </c>
      <c r="I21">
        <f>IF(H21=0, 0, G21/H21)</f>
        <v/>
      </c>
      <c r="J21">
        <f>RANK(I21, I$2:I$1111, 0)</f>
        <v/>
      </c>
      <c r="K21">
        <f>SUM(C21)</f>
        <v/>
      </c>
      <c r="L21">
        <f>SUM(K21,D21)</f>
        <v/>
      </c>
      <c r="M21">
        <f>SUM(L21,E21,F21)</f>
        <v/>
      </c>
      <c r="N21">
        <f>IF(L21=0, -1, K21/L21)</f>
        <v/>
      </c>
      <c r="O21">
        <f>IF(M21=0, -1, K21/M21)</f>
        <v/>
      </c>
      <c r="P21">
        <f>IF(M21=0, -1, L21/M21)</f>
        <v/>
      </c>
    </row>
    <row r="22">
      <c r="A22" t="inlineStr">
        <is>
          <t>RC00103</t>
        </is>
      </c>
      <c r="B22" t="inlineStr">
        <is>
          <t>山西大学</t>
        </is>
      </c>
      <c r="C22" t="n">
        <v>1</v>
      </c>
      <c r="D22" t="n">
        <v>4</v>
      </c>
      <c r="E22" t="n">
        <v>50</v>
      </c>
      <c r="F22" t="n">
        <v>14</v>
      </c>
      <c r="G22" t="n">
        <v>172974.0558849852</v>
      </c>
      <c r="H22" t="n">
        <v>334.9880677286027</v>
      </c>
      <c r="I22">
        <f>IF(H22=0, 0, G22/H22)</f>
        <v/>
      </c>
      <c r="J22">
        <f>RANK(I22, I$2:I$1111, 0)</f>
        <v/>
      </c>
      <c r="K22">
        <f>SUM(C22)</f>
        <v/>
      </c>
      <c r="L22">
        <f>SUM(K22,D22)</f>
        <v/>
      </c>
      <c r="M22">
        <f>SUM(L22,E22,F22)</f>
        <v/>
      </c>
      <c r="N22">
        <f>IF(L22=0, -1, K22/L22)</f>
        <v/>
      </c>
      <c r="O22">
        <f>IF(M22=0, -1, K22/M22)</f>
        <v/>
      </c>
      <c r="P22">
        <f>IF(M22=0, -1, L22/M22)</f>
        <v/>
      </c>
    </row>
    <row r="23">
      <c r="A23" t="inlineStr">
        <is>
          <t>RC00079</t>
        </is>
      </c>
      <c r="B23" t="inlineStr">
        <is>
          <t>西南大学</t>
        </is>
      </c>
      <c r="C23" t="n">
        <v>4</v>
      </c>
      <c r="D23" t="n">
        <v>36</v>
      </c>
      <c r="E23" t="n">
        <v>58</v>
      </c>
      <c r="F23" t="n">
        <v>8</v>
      </c>
      <c r="G23" t="n">
        <v>308496.0982365625</v>
      </c>
      <c r="H23" t="n">
        <v>469.9976832502358</v>
      </c>
      <c r="I23">
        <f>IF(H23=0, 0, G23/H23)</f>
        <v/>
      </c>
      <c r="J23">
        <f>RANK(I23, I$2:I$1111, 0)</f>
        <v/>
      </c>
      <c r="K23">
        <f>SUM(C23)</f>
        <v/>
      </c>
      <c r="L23">
        <f>SUM(K23,D23)</f>
        <v/>
      </c>
      <c r="M23">
        <f>SUM(L23,E23,F23)</f>
        <v/>
      </c>
      <c r="N23">
        <f>IF(L23=0, -1, K23/L23)</f>
        <v/>
      </c>
      <c r="O23">
        <f>IF(M23=0, -1, K23/M23)</f>
        <v/>
      </c>
      <c r="P23">
        <f>IF(M23=0, -1, L23/M23)</f>
        <v/>
      </c>
    </row>
    <row r="24">
      <c r="A24" t="inlineStr">
        <is>
          <t>RC00112</t>
        </is>
      </c>
      <c r="B24" t="inlineStr">
        <is>
          <t>陕西师范大学</t>
        </is>
      </c>
      <c r="C24" t="n">
        <v>6</v>
      </c>
      <c r="D24" t="n">
        <v>34</v>
      </c>
      <c r="E24" t="n">
        <v>22</v>
      </c>
      <c r="F24" t="n">
        <v>6</v>
      </c>
      <c r="G24" t="n">
        <v>222500.6583271472</v>
      </c>
      <c r="H24" t="n">
        <v>324.8606553674998</v>
      </c>
      <c r="I24">
        <f>IF(H24=0, 0, G24/H24)</f>
        <v/>
      </c>
      <c r="J24">
        <f>RANK(I24, I$2:I$1111, 0)</f>
        <v/>
      </c>
      <c r="K24">
        <f>SUM(C24)</f>
        <v/>
      </c>
      <c r="L24">
        <f>SUM(K24,D24)</f>
        <v/>
      </c>
      <c r="M24">
        <f>SUM(L24,E24,F24)</f>
        <v/>
      </c>
      <c r="N24">
        <f>IF(L24=0, -1, K24/L24)</f>
        <v/>
      </c>
      <c r="O24">
        <f>IF(M24=0, -1, K24/M24)</f>
        <v/>
      </c>
      <c r="P24">
        <f>IF(M24=0, -1, L24/M24)</f>
        <v/>
      </c>
    </row>
    <row r="25">
      <c r="A25" t="inlineStr">
        <is>
          <t>RC00121</t>
        </is>
      </c>
      <c r="B25" t="inlineStr">
        <is>
          <t>湖南师范大学</t>
        </is>
      </c>
      <c r="C25" t="n">
        <v>4</v>
      </c>
      <c r="D25" t="n">
        <v>37</v>
      </c>
      <c r="E25" t="n">
        <v>45</v>
      </c>
      <c r="F25" t="n">
        <v>6</v>
      </c>
      <c r="G25" t="n">
        <v>281398.3946357468</v>
      </c>
      <c r="H25" t="n">
        <v>434.9472813423832</v>
      </c>
      <c r="I25">
        <f>IF(H25=0, 0, G25/H25)</f>
        <v/>
      </c>
      <c r="J25">
        <f>RANK(I25, I$2:I$1111, 0)</f>
        <v/>
      </c>
      <c r="K25">
        <f>SUM(C25)</f>
        <v/>
      </c>
      <c r="L25">
        <f>SUM(K25,D25)</f>
        <v/>
      </c>
      <c r="M25">
        <f>SUM(L25,E25,F25)</f>
        <v/>
      </c>
      <c r="N25">
        <f>IF(L25=0, -1, K25/L25)</f>
        <v/>
      </c>
      <c r="O25">
        <f>IF(M25=0, -1, K25/M25)</f>
        <v/>
      </c>
      <c r="P25">
        <f>IF(M25=0, -1, L25/M25)</f>
        <v/>
      </c>
    </row>
    <row r="26">
      <c r="A26" t="inlineStr">
        <is>
          <t>RC00154</t>
        </is>
      </c>
      <c r="B26" t="inlineStr">
        <is>
          <t>中央民族大学</t>
        </is>
      </c>
      <c r="C26" t="n">
        <v>4</v>
      </c>
      <c r="D26" t="n">
        <v>20</v>
      </c>
      <c r="E26" t="n">
        <v>29</v>
      </c>
      <c r="F26" t="n">
        <v>5</v>
      </c>
      <c r="G26" t="n">
        <v>175838.0157871948</v>
      </c>
      <c r="H26" t="n">
        <v>288.2977213112734</v>
      </c>
      <c r="I26">
        <f>IF(H26=0, 0, G26/H26)</f>
        <v/>
      </c>
      <c r="J26">
        <f>RANK(I26, I$2:I$1111, 0)</f>
        <v/>
      </c>
      <c r="K26">
        <f>SUM(C26)</f>
        <v/>
      </c>
      <c r="L26">
        <f>SUM(K26,D26)</f>
        <v/>
      </c>
      <c r="M26">
        <f>SUM(L26,E26,F26)</f>
        <v/>
      </c>
      <c r="N26">
        <f>IF(L26=0, -1, K26/L26)</f>
        <v/>
      </c>
      <c r="O26">
        <f>IF(M26=0, -1, K26/M26)</f>
        <v/>
      </c>
      <c r="P26">
        <f>IF(M26=0, -1, L26/M26)</f>
        <v/>
      </c>
    </row>
    <row r="27">
      <c r="A27" t="inlineStr">
        <is>
          <t>RC00033</t>
        </is>
      </c>
      <c r="B27" t="inlineStr">
        <is>
          <t>湖南大学</t>
        </is>
      </c>
      <c r="C27" t="n">
        <v>9</v>
      </c>
      <c r="D27" t="n">
        <v>47</v>
      </c>
      <c r="E27" t="n">
        <v>17</v>
      </c>
      <c r="F27" t="n">
        <v>2</v>
      </c>
      <c r="G27" t="n">
        <v>283298.7221098074</v>
      </c>
      <c r="H27" t="n">
        <v>368.6516645122433</v>
      </c>
      <c r="I27">
        <f>IF(H27=0, 0, G27/H27)</f>
        <v/>
      </c>
      <c r="J27">
        <f>RANK(I27, I$2:I$1111, 0)</f>
        <v/>
      </c>
      <c r="K27">
        <f>SUM(C27)</f>
        <v/>
      </c>
      <c r="L27">
        <f>SUM(K27,D27)</f>
        <v/>
      </c>
      <c r="M27">
        <f>SUM(L27,E27,F27)</f>
        <v/>
      </c>
      <c r="N27">
        <f>IF(L27=0, -1, K27/L27)</f>
        <v/>
      </c>
      <c r="O27">
        <f>IF(M27=0, -1, K27/M27)</f>
        <v/>
      </c>
      <c r="P27">
        <f>IF(M27=0, -1, L27/M27)</f>
        <v/>
      </c>
    </row>
    <row r="28">
      <c r="A28" t="inlineStr">
        <is>
          <t>RC00035</t>
        </is>
      </c>
      <c r="B28" t="inlineStr">
        <is>
          <t>兰州大学</t>
        </is>
      </c>
      <c r="C28" t="n">
        <v>3</v>
      </c>
      <c r="D28" t="n">
        <v>26</v>
      </c>
      <c r="E28" t="n">
        <v>46</v>
      </c>
      <c r="F28" t="n">
        <v>14</v>
      </c>
      <c r="G28" t="n">
        <v>252591.7592160121</v>
      </c>
      <c r="H28" t="n">
        <v>393.9883268282219</v>
      </c>
      <c r="I28">
        <f>IF(H28=0, 0, G28/H28)</f>
        <v/>
      </c>
      <c r="J28">
        <f>RANK(I28, I$2:I$1111, 0)</f>
        <v/>
      </c>
      <c r="K28">
        <f>SUM(C28)</f>
        <v/>
      </c>
      <c r="L28">
        <f>SUM(K28,D28)</f>
        <v/>
      </c>
      <c r="M28">
        <f>SUM(L28,E28,F28)</f>
        <v/>
      </c>
      <c r="N28">
        <f>IF(L28=0, -1, K28/L28)</f>
        <v/>
      </c>
      <c r="O28">
        <f>IF(M28=0, -1, K28/M28)</f>
        <v/>
      </c>
      <c r="P28">
        <f>IF(M28=0, -1, L28/M28)</f>
        <v/>
      </c>
    </row>
    <row r="29">
      <c r="A29" t="inlineStr">
        <is>
          <t>RC00088</t>
        </is>
      </c>
      <c r="B29" t="inlineStr">
        <is>
          <t>南京师范大学</t>
        </is>
      </c>
      <c r="C29" t="n">
        <v>10</v>
      </c>
      <c r="D29" t="n">
        <v>34</v>
      </c>
      <c r="E29" t="n">
        <v>32</v>
      </c>
      <c r="F29" t="n">
        <v>9</v>
      </c>
      <c r="G29" t="n">
        <v>272756.901278776</v>
      </c>
      <c r="H29" t="n">
        <v>397.8045112220153</v>
      </c>
      <c r="I29">
        <f>IF(H29=0, 0, G29/H29)</f>
        <v/>
      </c>
      <c r="J29">
        <f>RANK(I29, I$2:I$1111, 0)</f>
        <v/>
      </c>
      <c r="K29">
        <f>SUM(C29)</f>
        <v/>
      </c>
      <c r="L29">
        <f>SUM(K29,D29)</f>
        <v/>
      </c>
      <c r="M29">
        <f>SUM(L29,E29,F29)</f>
        <v/>
      </c>
      <c r="N29">
        <f>IF(L29=0, -1, K29/L29)</f>
        <v/>
      </c>
      <c r="O29">
        <f>IF(M29=0, -1, K29/M29)</f>
        <v/>
      </c>
      <c r="P29">
        <f>IF(M29=0, -1, L29/M29)</f>
        <v/>
      </c>
    </row>
    <row r="30">
      <c r="A30" t="inlineStr">
        <is>
          <t>RC00304</t>
        </is>
      </c>
      <c r="B30" t="inlineStr">
        <is>
          <t>黑龙江大学</t>
        </is>
      </c>
      <c r="C30" t="n">
        <v>1</v>
      </c>
      <c r="D30" t="n">
        <v>6</v>
      </c>
      <c r="E30" t="n">
        <v>32</v>
      </c>
      <c r="F30" t="n">
        <v>29</v>
      </c>
      <c r="G30" t="n">
        <v>162240.5782624419</v>
      </c>
      <c r="H30" t="n">
        <v>336.3671532506198</v>
      </c>
      <c r="I30">
        <f>IF(H30=0, 0, G30/H30)</f>
        <v/>
      </c>
      <c r="J30">
        <f>RANK(I30, I$2:I$1111, 0)</f>
        <v/>
      </c>
      <c r="K30">
        <f>SUM(C30)</f>
        <v/>
      </c>
      <c r="L30">
        <f>SUM(K30,D30)</f>
        <v/>
      </c>
      <c r="M30">
        <f>SUM(L30,E30,F30)</f>
        <v/>
      </c>
      <c r="N30">
        <f>IF(L30=0, -1, K30/L30)</f>
        <v/>
      </c>
      <c r="O30">
        <f>IF(M30=0, -1, K30/M30)</f>
        <v/>
      </c>
      <c r="P30">
        <f>IF(M30=0, -1, L30/M30)</f>
        <v/>
      </c>
    </row>
    <row r="31">
      <c r="A31" t="inlineStr">
        <is>
          <t>RC00016</t>
        </is>
      </c>
      <c r="B31" t="inlineStr">
        <is>
          <t>大连理工大学</t>
        </is>
      </c>
      <c r="C31" t="n">
        <v>18</v>
      </c>
      <c r="D31" t="n">
        <v>42</v>
      </c>
      <c r="E31" t="n">
        <v>15</v>
      </c>
      <c r="F31" t="n">
        <v>4</v>
      </c>
      <c r="G31" t="n">
        <v>282988.5315871725</v>
      </c>
      <c r="H31" t="n">
        <v>364.9778830553106</v>
      </c>
      <c r="I31">
        <f>IF(H31=0, 0, G31/H31)</f>
        <v/>
      </c>
      <c r="J31">
        <f>RANK(I31, I$2:I$1111, 0)</f>
        <v/>
      </c>
      <c r="K31">
        <f>SUM(C31)</f>
        <v/>
      </c>
      <c r="L31">
        <f>SUM(K31,D31)</f>
        <v/>
      </c>
      <c r="M31">
        <f>SUM(L31,E31,F31)</f>
        <v/>
      </c>
      <c r="N31">
        <f>IF(L31=0, -1, K31/L31)</f>
        <v/>
      </c>
      <c r="O31">
        <f>IF(M31=0, -1, K31/M31)</f>
        <v/>
      </c>
      <c r="P31">
        <f>IF(M31=0, -1, L31/M31)</f>
        <v/>
      </c>
    </row>
    <row r="32">
      <c r="A32" t="inlineStr">
        <is>
          <t>RC00053</t>
        </is>
      </c>
      <c r="B32" t="inlineStr">
        <is>
          <t>东北大学</t>
        </is>
      </c>
      <c r="C32" t="n">
        <v>4</v>
      </c>
      <c r="D32" t="n">
        <v>35</v>
      </c>
      <c r="E32" t="n">
        <v>33</v>
      </c>
      <c r="F32" t="n">
        <v>3</v>
      </c>
      <c r="G32" t="n">
        <v>247809.846014653</v>
      </c>
      <c r="H32" t="n">
        <v>360.3741931723278</v>
      </c>
      <c r="I32">
        <f>IF(H32=0, 0, G32/H32)</f>
        <v/>
      </c>
      <c r="J32">
        <f>RANK(I32, I$2:I$1111, 0)</f>
        <v/>
      </c>
      <c r="K32">
        <f>SUM(C32)</f>
        <v/>
      </c>
      <c r="L32">
        <f>SUM(K32,D32)</f>
        <v/>
      </c>
      <c r="M32">
        <f>SUM(L32,E32,F32)</f>
        <v/>
      </c>
      <c r="N32">
        <f>IF(L32=0, -1, K32/L32)</f>
        <v/>
      </c>
      <c r="O32">
        <f>IF(M32=0, -1, K32/M32)</f>
        <v/>
      </c>
      <c r="P32">
        <f>IF(M32=0, -1, L32/M32)</f>
        <v/>
      </c>
    </row>
    <row r="33">
      <c r="A33" t="inlineStr">
        <is>
          <t>RC00548</t>
        </is>
      </c>
      <c r="B33" t="inlineStr">
        <is>
          <t>中南财经政法大学</t>
        </is>
      </c>
      <c r="C33" t="n">
        <v>4</v>
      </c>
      <c r="D33" t="n">
        <v>30</v>
      </c>
      <c r="E33" t="n">
        <v>17</v>
      </c>
      <c r="F33" t="n">
        <v>7</v>
      </c>
      <c r="G33" t="n">
        <v>189449.2718141097</v>
      </c>
      <c r="H33" t="n">
        <v>267.1324478551713</v>
      </c>
      <c r="I33">
        <f>IF(H33=0, 0, G33/H33)</f>
        <v/>
      </c>
      <c r="J33">
        <f>RANK(I33, I$2:I$1111, 0)</f>
        <v/>
      </c>
      <c r="K33">
        <f>SUM(C33)</f>
        <v/>
      </c>
      <c r="L33">
        <f>SUM(K33,D33)</f>
        <v/>
      </c>
      <c r="M33">
        <f>SUM(L33,E33,F33)</f>
        <v/>
      </c>
      <c r="N33">
        <f>IF(L33=0, -1, K33/L33)</f>
        <v/>
      </c>
      <c r="O33">
        <f>IF(M33=0, -1, K33/M33)</f>
        <v/>
      </c>
      <c r="P33">
        <f>IF(M33=0, -1, L33/M33)</f>
        <v/>
      </c>
    </row>
    <row r="34">
      <c r="A34" t="inlineStr">
        <is>
          <t>RC00070</t>
        </is>
      </c>
      <c r="B34" t="inlineStr">
        <is>
          <t>东北师范大学</t>
        </is>
      </c>
      <c r="C34" t="n">
        <v>6</v>
      </c>
      <c r="D34" t="n">
        <v>25</v>
      </c>
      <c r="E34" t="n">
        <v>23</v>
      </c>
      <c r="F34" t="n">
        <v>6</v>
      </c>
      <c r="G34" t="n">
        <v>197415.4074673908</v>
      </c>
      <c r="H34" t="n">
        <v>285.7812227050203</v>
      </c>
      <c r="I34">
        <f>IF(H34=0, 0, G34/H34)</f>
        <v/>
      </c>
      <c r="J34">
        <f>RANK(I34, I$2:I$1111, 0)</f>
        <v/>
      </c>
      <c r="K34">
        <f>SUM(C34)</f>
        <v/>
      </c>
      <c r="L34">
        <f>SUM(K34,D34)</f>
        <v/>
      </c>
      <c r="M34">
        <f>SUM(L34,E34,F34)</f>
        <v/>
      </c>
      <c r="N34">
        <f>IF(L34=0, -1, K34/L34)</f>
        <v/>
      </c>
      <c r="O34">
        <f>IF(M34=0, -1, K34/M34)</f>
        <v/>
      </c>
      <c r="P34">
        <f>IF(M34=0, -1, L34/M34)</f>
        <v/>
      </c>
    </row>
    <row r="35">
      <c r="A35" t="inlineStr">
        <is>
          <t>RC00019</t>
        </is>
      </c>
      <c r="B35" t="inlineStr">
        <is>
          <t>苏州大学</t>
        </is>
      </c>
      <c r="C35" t="n">
        <v>4</v>
      </c>
      <c r="D35" t="n">
        <v>43</v>
      </c>
      <c r="E35" t="n">
        <v>49</v>
      </c>
      <c r="F35" t="n">
        <v>7</v>
      </c>
      <c r="G35" t="n">
        <v>312216.6266738358</v>
      </c>
      <c r="H35" t="n">
        <v>472.328767613333</v>
      </c>
      <c r="I35">
        <f>IF(H35=0, 0, G35/H35)</f>
        <v/>
      </c>
      <c r="J35">
        <f>RANK(I35, I$2:I$1111, 0)</f>
        <v/>
      </c>
      <c r="K35">
        <f>SUM(C35)</f>
        <v/>
      </c>
      <c r="L35">
        <f>SUM(K35,D35)</f>
        <v/>
      </c>
      <c r="M35">
        <f>SUM(L35,E35,F35)</f>
        <v/>
      </c>
      <c r="N35">
        <f>IF(L35=0, -1, K35/L35)</f>
        <v/>
      </c>
      <c r="O35">
        <f>IF(M35=0, -1, K35/M35)</f>
        <v/>
      </c>
      <c r="P35">
        <f>IF(M35=0, -1, L35/M35)</f>
        <v/>
      </c>
    </row>
    <row r="36">
      <c r="A36" t="inlineStr">
        <is>
          <t>RC00111</t>
        </is>
      </c>
      <c r="B36" t="inlineStr">
        <is>
          <t>贵州大学</t>
        </is>
      </c>
      <c r="C36" t="n">
        <v>1</v>
      </c>
      <c r="D36" t="n">
        <v>19</v>
      </c>
      <c r="E36" t="n">
        <v>60</v>
      </c>
      <c r="F36" t="n">
        <v>21</v>
      </c>
      <c r="G36" t="n">
        <v>262380.6766453212</v>
      </c>
      <c r="H36" t="n">
        <v>469.4380380122685</v>
      </c>
      <c r="I36">
        <f>IF(H36=0, 0, G36/H36)</f>
        <v/>
      </c>
      <c r="J36">
        <f>RANK(I36, I$2:I$1111, 0)</f>
        <v/>
      </c>
      <c r="K36">
        <f>SUM(C36)</f>
        <v/>
      </c>
      <c r="L36">
        <f>SUM(K36,D36)</f>
        <v/>
      </c>
      <c r="M36">
        <f>SUM(L36,E36,F36)</f>
        <v/>
      </c>
      <c r="N36">
        <f>IF(L36=0, -1, K36/L36)</f>
        <v/>
      </c>
      <c r="O36">
        <f>IF(M36=0, -1, K36/M36)</f>
        <v/>
      </c>
      <c r="P36">
        <f>IF(M36=0, -1, L36/M36)</f>
        <v/>
      </c>
    </row>
    <row r="37">
      <c r="A37" t="inlineStr">
        <is>
          <t>RC00081</t>
        </is>
      </c>
      <c r="B37" t="inlineStr">
        <is>
          <t>西北大学</t>
        </is>
      </c>
      <c r="C37" t="n">
        <v>1</v>
      </c>
      <c r="D37" t="n">
        <v>22</v>
      </c>
      <c r="E37" t="n">
        <v>46</v>
      </c>
      <c r="F37" t="n">
        <v>9</v>
      </c>
      <c r="G37" t="n">
        <v>225576.3951589259</v>
      </c>
      <c r="H37" t="n">
        <v>363.2302719041533</v>
      </c>
      <c r="I37">
        <f>IF(H37=0, 0, G37/H37)</f>
        <v/>
      </c>
      <c r="J37">
        <f>RANK(I37, I$2:I$1111, 0)</f>
        <v/>
      </c>
      <c r="K37">
        <f>SUM(C37)</f>
        <v/>
      </c>
      <c r="L37">
        <f>SUM(K37,D37)</f>
        <v/>
      </c>
      <c r="M37">
        <f>SUM(L37,E37,F37)</f>
        <v/>
      </c>
      <c r="N37">
        <f>IF(L37=0, -1, K37/L37)</f>
        <v/>
      </c>
      <c r="O37">
        <f>IF(M37=0, -1, K37/M37)</f>
        <v/>
      </c>
      <c r="P37">
        <f>IF(M37=0, -1, L37/M37)</f>
        <v/>
      </c>
    </row>
    <row r="38">
      <c r="A38" t="inlineStr">
        <is>
          <t>RC00021</t>
        </is>
      </c>
      <c r="B38" t="inlineStr">
        <is>
          <t>中南大学</t>
        </is>
      </c>
      <c r="C38" t="n">
        <v>12</v>
      </c>
      <c r="D38" t="n">
        <v>49</v>
      </c>
      <c r="E38" t="n">
        <v>20</v>
      </c>
      <c r="F38" t="n">
        <v>5</v>
      </c>
      <c r="G38" t="n">
        <v>292598.0018170942</v>
      </c>
      <c r="H38" t="n">
        <v>388.1206011026582</v>
      </c>
      <c r="I38">
        <f>IF(H38=0, 0, G38/H38)</f>
        <v/>
      </c>
      <c r="J38">
        <f>RANK(I38, I$2:I$1111, 0)</f>
        <v/>
      </c>
      <c r="K38">
        <f>SUM(C38)</f>
        <v/>
      </c>
      <c r="L38">
        <f>SUM(K38,D38)</f>
        <v/>
      </c>
      <c r="M38">
        <f>SUM(L38,E38,F38)</f>
        <v/>
      </c>
      <c r="N38">
        <f>IF(L38=0, -1, K38/L38)</f>
        <v/>
      </c>
      <c r="O38">
        <f>IF(M38=0, -1, K38/M38)</f>
        <v/>
      </c>
      <c r="P38">
        <f>IF(M38=0, -1, L38/M38)</f>
        <v/>
      </c>
    </row>
    <row r="39">
      <c r="A39" t="inlineStr">
        <is>
          <t>RC00367</t>
        </is>
      </c>
      <c r="B39" t="inlineStr">
        <is>
          <t>深圳大学</t>
        </is>
      </c>
      <c r="C39" t="n">
        <v>1</v>
      </c>
      <c r="D39" t="n">
        <v>25</v>
      </c>
      <c r="E39" t="n">
        <v>44</v>
      </c>
      <c r="F39" t="n">
        <v>9</v>
      </c>
      <c r="G39" t="n">
        <v>243794.1115838591</v>
      </c>
      <c r="H39" t="n">
        <v>392.5783412979885</v>
      </c>
      <c r="I39">
        <f>IF(H39=0, 0, G39/H39)</f>
        <v/>
      </c>
      <c r="J39">
        <f>RANK(I39, I$2:I$1111, 0)</f>
        <v/>
      </c>
      <c r="K39">
        <f>SUM(C39)</f>
        <v/>
      </c>
      <c r="L39">
        <f>SUM(K39,D39)</f>
        <v/>
      </c>
      <c r="M39">
        <f>SUM(L39,E39,F39)</f>
        <v/>
      </c>
      <c r="N39">
        <f>IF(L39=0, -1, K39/L39)</f>
        <v/>
      </c>
      <c r="O39">
        <f>IF(M39=0, -1, K39/M39)</f>
        <v/>
      </c>
      <c r="P39">
        <f>IF(M39=0, -1, L39/M39)</f>
        <v/>
      </c>
    </row>
    <row r="40">
      <c r="A40" t="inlineStr">
        <is>
          <t>RC00119</t>
        </is>
      </c>
      <c r="B40" t="inlineStr">
        <is>
          <t>安徽大学</t>
        </is>
      </c>
      <c r="C40" t="n">
        <v>1</v>
      </c>
      <c r="D40" t="n">
        <v>31</v>
      </c>
      <c r="E40" t="n">
        <v>49</v>
      </c>
      <c r="F40" t="n">
        <v>7</v>
      </c>
      <c r="G40" t="n">
        <v>264345.2783504351</v>
      </c>
      <c r="H40" t="n">
        <v>425.6651535704206</v>
      </c>
      <c r="I40">
        <f>IF(H40=0, 0, G40/H40)</f>
        <v/>
      </c>
      <c r="J40">
        <f>RANK(I40, I$2:I$1111, 0)</f>
        <v/>
      </c>
      <c r="K40">
        <f>SUM(C40)</f>
        <v/>
      </c>
      <c r="L40">
        <f>SUM(K40,D40)</f>
        <v/>
      </c>
      <c r="M40">
        <f>SUM(L40,E40,F40)</f>
        <v/>
      </c>
      <c r="N40">
        <f>IF(L40=0, -1, K40/L40)</f>
        <v/>
      </c>
      <c r="O40">
        <f>IF(M40=0, -1, K40/M40)</f>
        <v/>
      </c>
      <c r="P40">
        <f>IF(M40=0, -1, L40/M40)</f>
        <v/>
      </c>
    </row>
    <row r="41">
      <c r="A41" t="inlineStr">
        <is>
          <t>RC00543</t>
        </is>
      </c>
      <c r="B41" t="inlineStr">
        <is>
          <t>湖北大学</t>
        </is>
      </c>
      <c r="C41" t="n">
        <v>1</v>
      </c>
      <c r="D41" t="n">
        <v>9</v>
      </c>
      <c r="E41" t="n">
        <v>43</v>
      </c>
      <c r="F41" t="n">
        <v>19</v>
      </c>
      <c r="G41" t="n">
        <v>183699.582447739</v>
      </c>
      <c r="H41" t="n">
        <v>343.2697942274981</v>
      </c>
      <c r="I41">
        <f>IF(H41=0, 0, G41/H41)</f>
        <v/>
      </c>
      <c r="J41">
        <f>RANK(I41, I$2:I$1111, 0)</f>
        <v/>
      </c>
      <c r="K41">
        <f>SUM(C41)</f>
        <v/>
      </c>
      <c r="L41">
        <f>SUM(K41,D41)</f>
        <v/>
      </c>
      <c r="M41">
        <f>SUM(L41,E41,F41)</f>
        <v/>
      </c>
      <c r="N41">
        <f>IF(L41=0, -1, K41/L41)</f>
        <v/>
      </c>
      <c r="O41">
        <f>IF(M41=0, -1, K41/M41)</f>
        <v/>
      </c>
      <c r="P41">
        <f>IF(M41=0, -1, L41/M41)</f>
        <v/>
      </c>
    </row>
    <row r="42">
      <c r="A42" t="inlineStr">
        <is>
          <t>RC00110</t>
        </is>
      </c>
      <c r="B42" t="inlineStr">
        <is>
          <t>华南师范大学</t>
        </is>
      </c>
      <c r="C42" t="n">
        <v>4</v>
      </c>
      <c r="D42" t="n">
        <v>30</v>
      </c>
      <c r="E42" t="n">
        <v>37</v>
      </c>
      <c r="F42" t="n">
        <v>7</v>
      </c>
      <c r="G42" t="n">
        <v>249163.5073901619</v>
      </c>
      <c r="H42" t="n">
        <v>382.6898996679396</v>
      </c>
      <c r="I42">
        <f>IF(H42=0, 0, G42/H42)</f>
        <v/>
      </c>
      <c r="J42">
        <f>RANK(I42, I$2:I$1111, 0)</f>
        <v/>
      </c>
      <c r="K42">
        <f>SUM(C42)</f>
        <v/>
      </c>
      <c r="L42">
        <f>SUM(K42,D42)</f>
        <v/>
      </c>
      <c r="M42">
        <f>SUM(L42,E42,F42)</f>
        <v/>
      </c>
      <c r="N42">
        <f>IF(L42=0, -1, K42/L42)</f>
        <v/>
      </c>
      <c r="O42">
        <f>IF(M42=0, -1, K42/M42)</f>
        <v/>
      </c>
      <c r="P42">
        <f>IF(M42=0, -1, L42/M42)</f>
        <v/>
      </c>
    </row>
    <row r="43">
      <c r="A43" t="inlineStr">
        <is>
          <t>RC00092</t>
        </is>
      </c>
      <c r="B43" t="inlineStr">
        <is>
          <t>南昌大学</t>
        </is>
      </c>
      <c r="C43" t="n">
        <v>2</v>
      </c>
      <c r="D43" t="n">
        <v>24</v>
      </c>
      <c r="E43" t="n">
        <v>53</v>
      </c>
      <c r="F43" t="n">
        <v>9</v>
      </c>
      <c r="G43" t="n">
        <v>262605.9357364413</v>
      </c>
      <c r="H43" t="n">
        <v>427.7905247559317</v>
      </c>
      <c r="I43">
        <f>IF(H43=0, 0, G43/H43)</f>
        <v/>
      </c>
      <c r="J43">
        <f>RANK(I43, I$2:I$1111, 0)</f>
        <v/>
      </c>
      <c r="K43">
        <f>SUM(C43)</f>
        <v/>
      </c>
      <c r="L43">
        <f>SUM(K43,D43)</f>
        <v/>
      </c>
      <c r="M43">
        <f>SUM(L43,E43,F43)</f>
        <v/>
      </c>
      <c r="N43">
        <f>IF(L43=0, -1, K43/L43)</f>
        <v/>
      </c>
      <c r="O43">
        <f>IF(M43=0, -1, K43/M43)</f>
        <v/>
      </c>
      <c r="P43">
        <f>IF(M43=0, -1, L43/M43)</f>
        <v/>
      </c>
    </row>
    <row r="44">
      <c r="A44" t="inlineStr">
        <is>
          <t>RC00658</t>
        </is>
      </c>
      <c r="B44" t="inlineStr">
        <is>
          <t>西南财经大学</t>
        </is>
      </c>
      <c r="C44" t="n">
        <v>9</v>
      </c>
      <c r="D44" t="n">
        <v>20</v>
      </c>
      <c r="E44" t="n">
        <v>13</v>
      </c>
      <c r="F44" t="n">
        <v>3</v>
      </c>
      <c r="G44" t="n">
        <v>163714.8259690666</v>
      </c>
      <c r="H44" t="n">
        <v>218.7038583935226</v>
      </c>
      <c r="I44">
        <f>IF(H44=0, 0, G44/H44)</f>
        <v/>
      </c>
      <c r="J44">
        <f>RANK(I44, I$2:I$1111, 0)</f>
        <v/>
      </c>
      <c r="K44">
        <f>SUM(C44)</f>
        <v/>
      </c>
      <c r="L44">
        <f>SUM(K44,D44)</f>
        <v/>
      </c>
      <c r="M44">
        <f>SUM(L44,E44,F44)</f>
        <v/>
      </c>
      <c r="N44">
        <f>IF(L44=0, -1, K44/L44)</f>
        <v/>
      </c>
      <c r="O44">
        <f>IF(M44=0, -1, K44/M44)</f>
        <v/>
      </c>
      <c r="P44">
        <f>IF(M44=0, -1, L44/M44)</f>
        <v/>
      </c>
    </row>
    <row r="45">
      <c r="A45" t="inlineStr">
        <is>
          <t>RC00335</t>
        </is>
      </c>
      <c r="B45" t="inlineStr">
        <is>
          <t>上海财经大学</t>
        </is>
      </c>
      <c r="C45" t="n">
        <v>11</v>
      </c>
      <c r="D45" t="n">
        <v>11</v>
      </c>
      <c r="E45" t="n">
        <v>6</v>
      </c>
      <c r="F45" t="n">
        <v>1</v>
      </c>
      <c r="G45" t="n">
        <v>121627.247286119</v>
      </c>
      <c r="H45" t="n">
        <v>147.9277220788434</v>
      </c>
      <c r="I45">
        <f>IF(H45=0, 0, G45/H45)</f>
        <v/>
      </c>
      <c r="J45">
        <f>RANK(I45, I$2:I$1111, 0)</f>
        <v/>
      </c>
      <c r="K45">
        <f>SUM(C45)</f>
        <v/>
      </c>
      <c r="L45">
        <f>SUM(K45,D45)</f>
        <v/>
      </c>
      <c r="M45">
        <f>SUM(L45,E45,F45)</f>
        <v/>
      </c>
      <c r="N45">
        <f>IF(L45=0, -1, K45/L45)</f>
        <v/>
      </c>
      <c r="O45">
        <f>IF(M45=0, -1, K45/M45)</f>
        <v/>
      </c>
      <c r="P45">
        <f>IF(M45=0, -1, L45/M45)</f>
        <v/>
      </c>
    </row>
    <row r="46">
      <c r="A46" t="inlineStr">
        <is>
          <t>RC00139</t>
        </is>
      </c>
      <c r="B46" t="inlineStr">
        <is>
          <t>中央财经大学</t>
        </is>
      </c>
      <c r="C46" t="n">
        <v>16</v>
      </c>
      <c r="D46" t="n">
        <v>22</v>
      </c>
      <c r="E46" t="n">
        <v>12</v>
      </c>
      <c r="F46" t="n">
        <v>1</v>
      </c>
      <c r="G46" t="n">
        <v>186263.926664483</v>
      </c>
      <c r="H46" t="n">
        <v>242.9154518091675</v>
      </c>
      <c r="I46">
        <f>IF(H46=0, 0, G46/H46)</f>
        <v/>
      </c>
      <c r="J46">
        <f>RANK(I46, I$2:I$1111, 0)</f>
        <v/>
      </c>
      <c r="K46">
        <f>SUM(C46)</f>
        <v/>
      </c>
      <c r="L46">
        <f>SUM(K46,D46)</f>
        <v/>
      </c>
      <c r="M46">
        <f>SUM(L46,E46,F46)</f>
        <v/>
      </c>
      <c r="N46">
        <f>IF(L46=0, -1, K46/L46)</f>
        <v/>
      </c>
      <c r="O46">
        <f>IF(M46=0, -1, K46/M46)</f>
        <v/>
      </c>
      <c r="P46">
        <f>IF(M46=0, -1, L46/M46)</f>
        <v/>
      </c>
    </row>
    <row r="47">
      <c r="A47" t="inlineStr">
        <is>
          <t>RC00005</t>
        </is>
      </c>
      <c r="B47" t="inlineStr">
        <is>
          <t>上海交通大学</t>
        </is>
      </c>
      <c r="C47" t="n">
        <v>39</v>
      </c>
      <c r="D47" t="n">
        <v>29</v>
      </c>
      <c r="E47" t="n">
        <v>6</v>
      </c>
      <c r="F47" t="n">
        <v>1</v>
      </c>
      <c r="G47" t="n">
        <v>295479.1895497583</v>
      </c>
      <c r="H47" t="n">
        <v>331.4399973786287</v>
      </c>
      <c r="I47">
        <f>IF(H47=0, 0, G47/H47)</f>
        <v/>
      </c>
      <c r="J47">
        <f>RANK(I47, I$2:I$1111, 0)</f>
        <v/>
      </c>
      <c r="K47">
        <f>SUM(C47)</f>
        <v/>
      </c>
      <c r="L47">
        <f>SUM(K47,D47)</f>
        <v/>
      </c>
      <c r="M47">
        <f>SUM(L47,E47,F47)</f>
        <v/>
      </c>
      <c r="N47">
        <f>IF(L47=0, -1, K47/L47)</f>
        <v/>
      </c>
      <c r="O47">
        <f>IF(M47=0, -1, K47/M47)</f>
        <v/>
      </c>
      <c r="P47">
        <f>IF(M47=0, -1, L47/M47)</f>
        <v/>
      </c>
    </row>
    <row r="48">
      <c r="A48" t="inlineStr">
        <is>
          <t>RC00060</t>
        </is>
      </c>
      <c r="B48" t="inlineStr">
        <is>
          <t>暨南大学</t>
        </is>
      </c>
      <c r="C48" t="n">
        <v>10</v>
      </c>
      <c r="D48" t="n">
        <v>32</v>
      </c>
      <c r="E48" t="n">
        <v>34</v>
      </c>
      <c r="F48" t="n">
        <v>7</v>
      </c>
      <c r="G48" t="n">
        <v>271040.4485861261</v>
      </c>
      <c r="H48" t="n">
        <v>390.0346775799998</v>
      </c>
      <c r="I48">
        <f>IF(H48=0, 0, G48/H48)</f>
        <v/>
      </c>
      <c r="J48">
        <f>RANK(I48, I$2:I$1111, 0)</f>
        <v/>
      </c>
      <c r="K48">
        <f>SUM(C48)</f>
        <v/>
      </c>
      <c r="L48">
        <f>SUM(K48,D48)</f>
        <v/>
      </c>
      <c r="M48">
        <f>SUM(L48,E48,F48)</f>
        <v/>
      </c>
      <c r="N48">
        <f>IF(L48=0, -1, K48/L48)</f>
        <v/>
      </c>
      <c r="O48">
        <f>IF(M48=0, -1, K48/M48)</f>
        <v/>
      </c>
      <c r="P48">
        <f>IF(M48=0, -1, L48/M48)</f>
        <v/>
      </c>
    </row>
    <row r="49">
      <c r="A49" t="inlineStr">
        <is>
          <t>RC00142</t>
        </is>
      </c>
      <c r="B49" t="inlineStr">
        <is>
          <t>首都经济贸易大学</t>
        </is>
      </c>
      <c r="C49" t="n">
        <v>0</v>
      </c>
      <c r="D49" t="n">
        <v>19</v>
      </c>
      <c r="E49" t="n">
        <v>18</v>
      </c>
      <c r="F49" t="n">
        <v>3</v>
      </c>
      <c r="G49" t="n">
        <v>131277.1532559146</v>
      </c>
      <c r="H49" t="n">
        <v>192.9523164790228</v>
      </c>
      <c r="I49">
        <f>IF(H49=0, 0, G49/H49)</f>
        <v/>
      </c>
      <c r="J49">
        <f>RANK(I49, I$2:I$1111, 0)</f>
        <v/>
      </c>
      <c r="K49">
        <f>SUM(C49)</f>
        <v/>
      </c>
      <c r="L49">
        <f>SUM(K49,D49)</f>
        <v/>
      </c>
      <c r="M49">
        <f>SUM(L49,E49,F49)</f>
        <v/>
      </c>
      <c r="N49">
        <f>IF(L49=0, -1, K49/L49)</f>
        <v/>
      </c>
      <c r="O49">
        <f>IF(M49=0, -1, K49/M49)</f>
        <v/>
      </c>
      <c r="P49">
        <f>IF(M49=0, -1, L49/M49)</f>
        <v/>
      </c>
    </row>
    <row r="50">
      <c r="A50" t="inlineStr">
        <is>
          <t>RC00036</t>
        </is>
      </c>
      <c r="B50" t="inlineStr">
        <is>
          <t>北京理工大学</t>
        </is>
      </c>
      <c r="C50" t="n">
        <v>25</v>
      </c>
      <c r="D50" t="n">
        <v>35</v>
      </c>
      <c r="E50" t="n">
        <v>9</v>
      </c>
      <c r="F50" t="n">
        <v>0</v>
      </c>
      <c r="G50" t="n">
        <v>255679.273706371</v>
      </c>
      <c r="H50" t="n">
        <v>306.4660805670885</v>
      </c>
      <c r="I50">
        <f>IF(H50=0, 0, G50/H50)</f>
        <v/>
      </c>
      <c r="J50">
        <f>RANK(I50, I$2:I$1111, 0)</f>
        <v/>
      </c>
      <c r="K50">
        <f>SUM(C50)</f>
        <v/>
      </c>
      <c r="L50">
        <f>SUM(K50,D50)</f>
        <v/>
      </c>
      <c r="M50">
        <f>SUM(L50,E50,F50)</f>
        <v/>
      </c>
      <c r="N50">
        <f>IF(L50=0, -1, K50/L50)</f>
        <v/>
      </c>
      <c r="O50">
        <f>IF(M50=0, -1, K50/M50)</f>
        <v/>
      </c>
      <c r="P50">
        <f>IF(M50=0, -1, L50/M50)</f>
        <v/>
      </c>
    </row>
    <row r="51">
      <c r="A51" t="inlineStr">
        <is>
          <t>RC00244</t>
        </is>
      </c>
      <c r="B51" t="inlineStr">
        <is>
          <t>辽宁大学</t>
        </is>
      </c>
      <c r="C51" t="n">
        <v>1</v>
      </c>
      <c r="D51" t="n">
        <v>6</v>
      </c>
      <c r="E51" t="n">
        <v>34</v>
      </c>
      <c r="F51" t="n">
        <v>16</v>
      </c>
      <c r="G51" t="n">
        <v>144447.016329346</v>
      </c>
      <c r="H51" t="n">
        <v>273.9881379824654</v>
      </c>
      <c r="I51">
        <f>IF(H51=0, 0, G51/H51)</f>
        <v/>
      </c>
      <c r="J51">
        <f>RANK(I51, I$2:I$1111, 0)</f>
        <v/>
      </c>
      <c r="K51">
        <f>SUM(C51)</f>
        <v/>
      </c>
      <c r="L51">
        <f>SUM(K51,D51)</f>
        <v/>
      </c>
      <c r="M51">
        <f>SUM(L51,E51,F51)</f>
        <v/>
      </c>
      <c r="N51">
        <f>IF(L51=0, -1, K51/L51)</f>
        <v/>
      </c>
      <c r="O51">
        <f>IF(M51=0, -1, K51/M51)</f>
        <v/>
      </c>
      <c r="P51">
        <f>IF(M51=0, -1, L51/M51)</f>
        <v/>
      </c>
    </row>
    <row r="52">
      <c r="A52" t="inlineStr">
        <is>
          <t>RC00268</t>
        </is>
      </c>
      <c r="B52" t="inlineStr">
        <is>
          <t>东北财经大学</t>
        </is>
      </c>
      <c r="C52" t="n">
        <v>5</v>
      </c>
      <c r="D52" t="n">
        <v>21</v>
      </c>
      <c r="E52" t="n">
        <v>13</v>
      </c>
      <c r="F52" t="n">
        <v>2</v>
      </c>
      <c r="G52" t="n">
        <v>147620.0144810991</v>
      </c>
      <c r="H52" t="n">
        <v>204.5086504527716</v>
      </c>
      <c r="I52">
        <f>IF(H52=0, 0, G52/H52)</f>
        <v/>
      </c>
      <c r="J52">
        <f>RANK(I52, I$2:I$1111, 0)</f>
        <v/>
      </c>
      <c r="K52">
        <f>SUM(C52)</f>
        <v/>
      </c>
      <c r="L52">
        <f>SUM(K52,D52)</f>
        <v/>
      </c>
      <c r="M52">
        <f>SUM(L52,E52,F52)</f>
        <v/>
      </c>
      <c r="N52">
        <f>IF(L52=0, -1, K52/L52)</f>
        <v/>
      </c>
      <c r="O52">
        <f>IF(M52=0, -1, K52/M52)</f>
        <v/>
      </c>
      <c r="P52">
        <f>IF(M52=0, -1, L52/M52)</f>
        <v/>
      </c>
    </row>
    <row r="53">
      <c r="A53" t="inlineStr">
        <is>
          <t>RC00054</t>
        </is>
      </c>
      <c r="B53" t="inlineStr">
        <is>
          <t>北京交通大学</t>
        </is>
      </c>
      <c r="C53" t="n">
        <v>11</v>
      </c>
      <c r="D53" t="n">
        <v>31</v>
      </c>
      <c r="E53" t="n">
        <v>14</v>
      </c>
      <c r="F53" t="n">
        <v>5</v>
      </c>
      <c r="G53" t="n">
        <v>200925.1295860607</v>
      </c>
      <c r="H53" t="n">
        <v>276.0189234820122</v>
      </c>
      <c r="I53">
        <f>IF(H53=0, 0, G53/H53)</f>
        <v/>
      </c>
      <c r="J53">
        <f>RANK(I53, I$2:I$1111, 0)</f>
        <v/>
      </c>
      <c r="K53">
        <f>SUM(C53)</f>
        <v/>
      </c>
      <c r="L53">
        <f>SUM(K53,D53)</f>
        <v/>
      </c>
      <c r="M53">
        <f>SUM(L53,E53,F53)</f>
        <v/>
      </c>
      <c r="N53">
        <f>IF(L53=0, -1, K53/L53)</f>
        <v/>
      </c>
      <c r="O53">
        <f>IF(M53=0, -1, K53/M53)</f>
        <v/>
      </c>
      <c r="P53">
        <f>IF(M53=0, -1, L53/M53)</f>
        <v/>
      </c>
    </row>
    <row r="54">
      <c r="A54" t="inlineStr">
        <is>
          <t>RC00022</t>
        </is>
      </c>
      <c r="B54" t="inlineStr">
        <is>
          <t>华南理工大学</t>
        </is>
      </c>
      <c r="C54" t="n">
        <v>15</v>
      </c>
      <c r="D54" t="n">
        <v>52</v>
      </c>
      <c r="E54" t="n">
        <v>16</v>
      </c>
      <c r="F54" t="n">
        <v>4</v>
      </c>
      <c r="G54" t="n">
        <v>317140.6200750759</v>
      </c>
      <c r="H54" t="n">
        <v>411.3081372371133</v>
      </c>
      <c r="I54">
        <f>IF(H54=0, 0, G54/H54)</f>
        <v/>
      </c>
      <c r="J54">
        <f>RANK(I54, I$2:I$1111, 0)</f>
        <v/>
      </c>
      <c r="K54">
        <f>SUM(C54)</f>
        <v/>
      </c>
      <c r="L54">
        <f>SUM(K54,D54)</f>
        <v/>
      </c>
      <c r="M54">
        <f>SUM(L54,E54,F54)</f>
        <v/>
      </c>
      <c r="N54">
        <f>IF(L54=0, -1, K54/L54)</f>
        <v/>
      </c>
      <c r="O54">
        <f>IF(M54=0, -1, K54/M54)</f>
        <v/>
      </c>
      <c r="P54">
        <f>IF(M54=0, -1, L54/M54)</f>
        <v/>
      </c>
    </row>
    <row r="55">
      <c r="A55" t="inlineStr">
        <is>
          <t>RC00356</t>
        </is>
      </c>
      <c r="B55" t="inlineStr">
        <is>
          <t>南京财经大学</t>
        </is>
      </c>
      <c r="C55" t="n">
        <v>2</v>
      </c>
      <c r="D55" t="n">
        <v>20</v>
      </c>
      <c r="E55" t="n">
        <v>19</v>
      </c>
      <c r="F55" t="n">
        <v>5</v>
      </c>
      <c r="G55" t="n">
        <v>145663.8339994395</v>
      </c>
      <c r="H55" t="n">
        <v>228.748816687564</v>
      </c>
      <c r="I55">
        <f>IF(H55=0, 0, G55/H55)</f>
        <v/>
      </c>
      <c r="J55">
        <f>RANK(I55, I$2:I$1111, 0)</f>
        <v/>
      </c>
      <c r="K55">
        <f>SUM(C55)</f>
        <v/>
      </c>
      <c r="L55">
        <f>SUM(K55,D55)</f>
        <v/>
      </c>
      <c r="M55">
        <f>SUM(L55,E55,F55)</f>
        <v/>
      </c>
      <c r="N55">
        <f>IF(L55=0, -1, K55/L55)</f>
        <v/>
      </c>
      <c r="O55">
        <f>IF(M55=0, -1, K55/M55)</f>
        <v/>
      </c>
      <c r="P55">
        <f>IF(M55=0, -1, L55/M55)</f>
        <v/>
      </c>
    </row>
    <row r="56">
      <c r="A56" t="inlineStr">
        <is>
          <t>RC00013</t>
        </is>
      </c>
      <c r="B56" t="inlineStr">
        <is>
          <t>北京航空航天大学</t>
        </is>
      </c>
      <c r="C56" t="n">
        <v>30</v>
      </c>
      <c r="D56" t="n">
        <v>30</v>
      </c>
      <c r="E56" t="n">
        <v>14</v>
      </c>
      <c r="F56" t="n">
        <v>1</v>
      </c>
      <c r="G56" t="n">
        <v>253590.097895993</v>
      </c>
      <c r="H56" t="n">
        <v>311.912220111741</v>
      </c>
      <c r="I56">
        <f>IF(H56=0, 0, G56/H56)</f>
        <v/>
      </c>
      <c r="J56">
        <f>RANK(I56, I$2:I$1111, 0)</f>
        <v/>
      </c>
      <c r="K56">
        <f>SUM(C56)</f>
        <v/>
      </c>
      <c r="L56">
        <f>SUM(K56,D56)</f>
        <v/>
      </c>
      <c r="M56">
        <f>SUM(L56,E56,F56)</f>
        <v/>
      </c>
      <c r="N56">
        <f>IF(L56=0, -1, K56/L56)</f>
        <v/>
      </c>
      <c r="O56">
        <f>IF(M56=0, -1, K56/M56)</f>
        <v/>
      </c>
      <c r="P56">
        <f>IF(M56=0, -1, L56/M56)</f>
        <v/>
      </c>
    </row>
    <row r="57">
      <c r="A57" t="inlineStr">
        <is>
          <t>RC00454</t>
        </is>
      </c>
      <c r="B57" t="inlineStr">
        <is>
          <t>江西财经大学</t>
        </is>
      </c>
      <c r="C57" t="n">
        <v>0</v>
      </c>
      <c r="D57" t="n">
        <v>24</v>
      </c>
      <c r="E57" t="n">
        <v>16</v>
      </c>
      <c r="F57" t="n">
        <v>5</v>
      </c>
      <c r="G57" t="n">
        <v>143451.8437471488</v>
      </c>
      <c r="H57" t="n">
        <v>224.1752134050168</v>
      </c>
      <c r="I57">
        <f>IF(H57=0, 0, G57/H57)</f>
        <v/>
      </c>
      <c r="J57">
        <f>RANK(I57, I$2:I$1111, 0)</f>
        <v/>
      </c>
      <c r="K57">
        <f>SUM(C57)</f>
        <v/>
      </c>
      <c r="L57">
        <f>SUM(K57,D57)</f>
        <v/>
      </c>
      <c r="M57">
        <f>SUM(L57,E57,F57)</f>
        <v/>
      </c>
      <c r="N57">
        <f>IF(L57=0, -1, K57/L57)</f>
        <v/>
      </c>
      <c r="O57">
        <f>IF(M57=0, -1, K57/M57)</f>
        <v/>
      </c>
      <c r="P57">
        <f>IF(M57=0, -1, L57/M57)</f>
        <v/>
      </c>
    </row>
    <row r="58">
      <c r="A58" t="inlineStr">
        <is>
          <t>RC00052</t>
        </is>
      </c>
      <c r="B58" t="inlineStr">
        <is>
          <t>重庆大学</t>
        </is>
      </c>
      <c r="C58" t="n">
        <v>16</v>
      </c>
      <c r="D58" t="n">
        <v>51</v>
      </c>
      <c r="E58" t="n">
        <v>29</v>
      </c>
      <c r="F58" t="n">
        <v>3</v>
      </c>
      <c r="G58" t="n">
        <v>353865.7856526672</v>
      </c>
      <c r="H58" t="n">
        <v>474.650030491929</v>
      </c>
      <c r="I58">
        <f>IF(H58=0, 0, G58/H58)</f>
        <v/>
      </c>
      <c r="J58">
        <f>RANK(I58, I$2:I$1111, 0)</f>
        <v/>
      </c>
      <c r="K58">
        <f>SUM(C58)</f>
        <v/>
      </c>
      <c r="L58">
        <f>SUM(K58,D58)</f>
        <v/>
      </c>
      <c r="M58">
        <f>SUM(L58,E58,F58)</f>
        <v/>
      </c>
      <c r="N58">
        <f>IF(L58=0, -1, K58/L58)</f>
        <v/>
      </c>
      <c r="O58">
        <f>IF(M58=0, -1, K58/M58)</f>
        <v/>
      </c>
      <c r="P58">
        <f>IF(M58=0, -1, L58/M58)</f>
        <v/>
      </c>
    </row>
    <row r="59">
      <c r="A59" t="inlineStr">
        <is>
          <t>RC00395</t>
        </is>
      </c>
      <c r="B59" t="inlineStr">
        <is>
          <t>浙江财经大学</t>
        </is>
      </c>
      <c r="C59" t="n">
        <v>0</v>
      </c>
      <c r="D59" t="n">
        <v>15</v>
      </c>
      <c r="E59" t="n">
        <v>24</v>
      </c>
      <c r="F59" t="n">
        <v>5</v>
      </c>
      <c r="G59" t="n">
        <v>135190.1151457405</v>
      </c>
      <c r="H59" t="n">
        <v>224.4096836056996</v>
      </c>
      <c r="I59">
        <f>IF(H59=0, 0, G59/H59)</f>
        <v/>
      </c>
      <c r="J59">
        <f>RANK(I59, I$2:I$1111, 0)</f>
        <v/>
      </c>
      <c r="K59">
        <f>SUM(C59)</f>
        <v/>
      </c>
      <c r="L59">
        <f>SUM(K59,D59)</f>
        <v/>
      </c>
      <c r="M59">
        <f>SUM(L59,E59,F59)</f>
        <v/>
      </c>
      <c r="N59">
        <f>IF(L59=0, -1, K59/L59)</f>
        <v/>
      </c>
      <c r="O59">
        <f>IF(M59=0, -1, K59/M59)</f>
        <v/>
      </c>
      <c r="P59">
        <f>IF(M59=0, -1, L59/M59)</f>
        <v/>
      </c>
    </row>
    <row r="60">
      <c r="A60" t="inlineStr">
        <is>
          <t>RC00487</t>
        </is>
      </c>
      <c r="B60" t="inlineStr">
        <is>
          <t>山东财经大学</t>
        </is>
      </c>
      <c r="C60" t="n">
        <v>2</v>
      </c>
      <c r="D60" t="n">
        <v>18</v>
      </c>
      <c r="E60" t="n">
        <v>23</v>
      </c>
      <c r="F60" t="n">
        <v>6</v>
      </c>
      <c r="G60" t="n">
        <v>148539.3852343647</v>
      </c>
      <c r="H60" t="n">
        <v>240.2474278044645</v>
      </c>
      <c r="I60">
        <f>IF(H60=0, 0, G60/H60)</f>
        <v/>
      </c>
      <c r="J60">
        <f>RANK(I60, I$2:I$1111, 0)</f>
        <v/>
      </c>
      <c r="K60">
        <f>SUM(C60)</f>
        <v/>
      </c>
      <c r="L60">
        <f>SUM(K60,D60)</f>
        <v/>
      </c>
      <c r="M60">
        <f>SUM(L60,E60,F60)</f>
        <v/>
      </c>
      <c r="N60">
        <f>IF(L60=0, -1, K60/L60)</f>
        <v/>
      </c>
      <c r="O60">
        <f>IF(M60=0, -1, K60/M60)</f>
        <v/>
      </c>
      <c r="P60">
        <f>IF(M60=0, -1, L60/M60)</f>
        <v/>
      </c>
    </row>
    <row r="61">
      <c r="A61" t="inlineStr">
        <is>
          <t>RC00058</t>
        </is>
      </c>
      <c r="B61" t="inlineStr">
        <is>
          <t>中国海洋大学</t>
        </is>
      </c>
      <c r="C61" t="n">
        <v>8</v>
      </c>
      <c r="D61" t="n">
        <v>22</v>
      </c>
      <c r="E61" t="n">
        <v>31</v>
      </c>
      <c r="F61" t="n">
        <v>5</v>
      </c>
      <c r="G61" t="n">
        <v>203503.7715766848</v>
      </c>
      <c r="H61" t="n">
        <v>302.9611023106893</v>
      </c>
      <c r="I61">
        <f>IF(H61=0, 0, G61/H61)</f>
        <v/>
      </c>
      <c r="J61">
        <f>RANK(I61, I$2:I$1111, 0)</f>
        <v/>
      </c>
      <c r="K61">
        <f>SUM(C61)</f>
        <v/>
      </c>
      <c r="L61">
        <f>SUM(K61,D61)</f>
        <v/>
      </c>
      <c r="M61">
        <f>SUM(L61,E61,F61)</f>
        <v/>
      </c>
      <c r="N61">
        <f>IF(L61=0, -1, K61/L61)</f>
        <v/>
      </c>
      <c r="O61">
        <f>IF(M61=0, -1, K61/M61)</f>
        <v/>
      </c>
      <c r="P61">
        <f>IF(M61=0, -1, L61/M61)</f>
        <v/>
      </c>
    </row>
    <row r="62">
      <c r="A62" t="inlineStr">
        <is>
          <t>RC00336</t>
        </is>
      </c>
      <c r="B62" t="inlineStr">
        <is>
          <t>上海对外经贸大学</t>
        </is>
      </c>
      <c r="C62" t="n">
        <v>2</v>
      </c>
      <c r="D62" t="n">
        <v>15</v>
      </c>
      <c r="E62" t="n">
        <v>14</v>
      </c>
      <c r="F62" t="n">
        <v>2</v>
      </c>
      <c r="G62" t="n">
        <v>103610.9908597801</v>
      </c>
      <c r="H62" t="n">
        <v>163.7327408200703</v>
      </c>
      <c r="I62">
        <f>IF(H62=0, 0, G62/H62)</f>
        <v/>
      </c>
      <c r="J62">
        <f>RANK(I62, I$2:I$1111, 0)</f>
        <v/>
      </c>
      <c r="K62">
        <f>SUM(C62)</f>
        <v/>
      </c>
      <c r="L62">
        <f>SUM(K62,D62)</f>
        <v/>
      </c>
      <c r="M62">
        <f>SUM(L62,E62,F62)</f>
        <v/>
      </c>
      <c r="N62">
        <f>IF(L62=0, -1, K62/L62)</f>
        <v/>
      </c>
      <c r="O62">
        <f>IF(M62=0, -1, K62/M62)</f>
        <v/>
      </c>
      <c r="P62">
        <f>IF(M62=0, -1, L62/M62)</f>
        <v/>
      </c>
    </row>
    <row r="63">
      <c r="A63" t="inlineStr">
        <is>
          <t>RC00106</t>
        </is>
      </c>
      <c r="B63" t="inlineStr">
        <is>
          <t>宁波大学</t>
        </is>
      </c>
      <c r="C63" t="n">
        <v>1</v>
      </c>
      <c r="D63" t="n">
        <v>16</v>
      </c>
      <c r="E63" t="n">
        <v>32</v>
      </c>
      <c r="F63" t="n">
        <v>8</v>
      </c>
      <c r="G63" t="n">
        <v>169914.2905840079</v>
      </c>
      <c r="H63" t="n">
        <v>283.6826373639369</v>
      </c>
      <c r="I63">
        <f>IF(H63=0, 0, G63/H63)</f>
        <v/>
      </c>
      <c r="J63">
        <f>RANK(I63, I$2:I$1111, 0)</f>
        <v/>
      </c>
      <c r="K63">
        <f>SUM(C63)</f>
        <v/>
      </c>
      <c r="L63">
        <f>SUM(K63,D63)</f>
        <v/>
      </c>
      <c r="M63">
        <f>SUM(L63,E63,F63)</f>
        <v/>
      </c>
      <c r="N63">
        <f>IF(L63=0, -1, K63/L63)</f>
        <v/>
      </c>
      <c r="O63">
        <f>IF(M63=0, -1, K63/M63)</f>
        <v/>
      </c>
      <c r="P63">
        <f>IF(M63=0, -1, L63/M63)</f>
        <v/>
      </c>
    </row>
    <row r="64">
      <c r="A64" t="inlineStr">
        <is>
          <t>RC00655</t>
        </is>
      </c>
      <c r="B64" t="inlineStr">
        <is>
          <t>重庆工商大学</t>
        </is>
      </c>
      <c r="C64" t="n">
        <v>1</v>
      </c>
      <c r="D64" t="n">
        <v>10</v>
      </c>
      <c r="E64" t="n">
        <v>29</v>
      </c>
      <c r="F64" t="n">
        <v>28</v>
      </c>
      <c r="G64" t="n">
        <v>163919.0636227888</v>
      </c>
      <c r="H64" t="n">
        <v>334.6887029433784</v>
      </c>
      <c r="I64">
        <f>IF(H64=0, 0, G64/H64)</f>
        <v/>
      </c>
      <c r="J64">
        <f>RANK(I64, I$2:I$1111, 0)</f>
        <v/>
      </c>
      <c r="K64">
        <f>SUM(C64)</f>
        <v/>
      </c>
      <c r="L64">
        <f>SUM(K64,D64)</f>
        <v/>
      </c>
      <c r="M64">
        <f>SUM(L64,E64,F64)</f>
        <v/>
      </c>
      <c r="N64">
        <f>IF(L64=0, -1, K64/L64)</f>
        <v/>
      </c>
      <c r="O64">
        <f>IF(M64=0, -1, K64/M64)</f>
        <v/>
      </c>
      <c r="P64">
        <f>IF(M64=0, -1, L64/M64)</f>
        <v/>
      </c>
    </row>
    <row r="65">
      <c r="A65" t="inlineStr">
        <is>
          <t>RC00049</t>
        </is>
      </c>
      <c r="B65" t="inlineStr">
        <is>
          <t>中国地质大学（武汉）</t>
        </is>
      </c>
      <c r="C65" t="n">
        <v>8</v>
      </c>
      <c r="D65" t="n">
        <v>22</v>
      </c>
      <c r="E65" t="n">
        <v>30</v>
      </c>
      <c r="F65" t="n">
        <v>3</v>
      </c>
      <c r="G65" t="n">
        <v>185638.6415877777</v>
      </c>
      <c r="H65" t="n">
        <v>279.0939778133714</v>
      </c>
      <c r="I65">
        <f>IF(H65=0, 0, G65/H65)</f>
        <v/>
      </c>
      <c r="J65">
        <f>RANK(I65, I$2:I$1111, 0)</f>
        <v/>
      </c>
      <c r="K65">
        <f>SUM(C65)</f>
        <v/>
      </c>
      <c r="L65">
        <f>SUM(K65,D65)</f>
        <v/>
      </c>
      <c r="M65">
        <f>SUM(L65,E65,F65)</f>
        <v/>
      </c>
      <c r="N65">
        <f>IF(L65=0, -1, K65/L65)</f>
        <v/>
      </c>
      <c r="O65">
        <f>IF(M65=0, -1, K65/M65)</f>
        <v/>
      </c>
      <c r="P65">
        <f>IF(M65=0, -1, L65/M65)</f>
        <v/>
      </c>
    </row>
    <row r="66">
      <c r="A66" t="inlineStr">
        <is>
          <t>RC00617</t>
        </is>
      </c>
      <c r="B66" t="inlineStr">
        <is>
          <t>广东外语外贸大学</t>
        </is>
      </c>
      <c r="C66" t="n">
        <v>8</v>
      </c>
      <c r="D66" t="n">
        <v>20</v>
      </c>
      <c r="E66" t="n">
        <v>25</v>
      </c>
      <c r="F66" t="n">
        <v>9</v>
      </c>
      <c r="G66" t="n">
        <v>181887.1296243608</v>
      </c>
      <c r="H66" t="n">
        <v>263.2852653241208</v>
      </c>
      <c r="I66">
        <f>IF(H66=0, 0, G66/H66)</f>
        <v/>
      </c>
      <c r="J66">
        <f>RANK(I66, I$2:I$1111, 0)</f>
        <v/>
      </c>
      <c r="K66">
        <f>SUM(C66)</f>
        <v/>
      </c>
      <c r="L66">
        <f>SUM(K66,D66)</f>
        <v/>
      </c>
      <c r="M66">
        <f>SUM(L66,E66,F66)</f>
        <v/>
      </c>
      <c r="N66">
        <f>IF(L66=0, -1, K66/L66)</f>
        <v/>
      </c>
      <c r="O66">
        <f>IF(M66=0, -1, K66/M66)</f>
        <v/>
      </c>
      <c r="P66">
        <f>IF(M66=0, -1, L66/M66)</f>
        <v/>
      </c>
    </row>
    <row r="67">
      <c r="A67" t="inlineStr">
        <is>
          <t>RC00386</t>
        </is>
      </c>
      <c r="B67" t="inlineStr">
        <is>
          <t>浙江工商大学</t>
        </is>
      </c>
      <c r="C67" t="n">
        <v>3</v>
      </c>
      <c r="D67" t="n">
        <v>24</v>
      </c>
      <c r="E67" t="n">
        <v>26</v>
      </c>
      <c r="F67" t="n">
        <v>4</v>
      </c>
      <c r="G67" t="n">
        <v>190338.2159748119</v>
      </c>
      <c r="H67" t="n">
        <v>290.600300252869</v>
      </c>
      <c r="I67">
        <f>IF(H67=0, 0, G67/H67)</f>
        <v/>
      </c>
      <c r="J67">
        <f>RANK(I67, I$2:I$1111, 0)</f>
        <v/>
      </c>
      <c r="K67">
        <f>SUM(C67)</f>
        <v/>
      </c>
      <c r="L67">
        <f>SUM(K67,D67)</f>
        <v/>
      </c>
      <c r="M67">
        <f>SUM(L67,E67,F67)</f>
        <v/>
      </c>
      <c r="N67">
        <f>IF(L67=0, -1, K67/L67)</f>
        <v/>
      </c>
      <c r="O67">
        <f>IF(M67=0, -1, K67/M67)</f>
        <v/>
      </c>
      <c r="P67">
        <f>IF(M67=0, -1, L67/M67)</f>
        <v/>
      </c>
    </row>
    <row r="68">
      <c r="A68" t="inlineStr">
        <is>
          <t>RC00365</t>
        </is>
      </c>
      <c r="B68" t="inlineStr">
        <is>
          <t>南京审计大学</t>
        </is>
      </c>
      <c r="C68" t="n">
        <v>2</v>
      </c>
      <c r="D68" t="n">
        <v>11</v>
      </c>
      <c r="E68" t="n">
        <v>24</v>
      </c>
      <c r="F68" t="n">
        <v>1</v>
      </c>
      <c r="G68" t="n">
        <v>120404.6507137167</v>
      </c>
      <c r="H68" t="n">
        <v>188.2458276078181</v>
      </c>
      <c r="I68">
        <f>IF(H68=0, 0, G68/H68)</f>
        <v/>
      </c>
      <c r="J68">
        <f>RANK(I68, I$2:I$1111, 0)</f>
        <v/>
      </c>
      <c r="K68">
        <f>SUM(C68)</f>
        <v/>
      </c>
      <c r="L68">
        <f>SUM(K68,D68)</f>
        <v/>
      </c>
      <c r="M68">
        <f>SUM(L68,E68,F68)</f>
        <v/>
      </c>
      <c r="N68">
        <f>IF(L68=0, -1, K68/L68)</f>
        <v/>
      </c>
      <c r="O68">
        <f>IF(M68=0, -1, K68/M68)</f>
        <v/>
      </c>
      <c r="P68">
        <f>IF(M68=0, -1, L68/M68)</f>
        <v/>
      </c>
    </row>
    <row r="69">
      <c r="A69" t="inlineStr">
        <is>
          <t>RC00043</t>
        </is>
      </c>
      <c r="B69" t="inlineStr">
        <is>
          <t>上海大学</t>
        </is>
      </c>
      <c r="C69" t="n">
        <v>3</v>
      </c>
      <c r="D69" t="n">
        <v>45</v>
      </c>
      <c r="E69" t="n">
        <v>43</v>
      </c>
      <c r="F69" t="n">
        <v>4</v>
      </c>
      <c r="G69" t="n">
        <v>298523.0633760931</v>
      </c>
      <c r="H69" t="n">
        <v>448.0529876694852</v>
      </c>
      <c r="I69">
        <f>IF(H69=0, 0, G69/H69)</f>
        <v/>
      </c>
      <c r="J69">
        <f>RANK(I69, I$2:I$1111, 0)</f>
        <v/>
      </c>
      <c r="K69">
        <f>SUM(C69)</f>
        <v/>
      </c>
      <c r="L69">
        <f>SUM(K69,D69)</f>
        <v/>
      </c>
      <c r="M69">
        <f>SUM(L69,E69,F69)</f>
        <v/>
      </c>
      <c r="N69">
        <f>IF(L69=0, -1, K69/L69)</f>
        <v/>
      </c>
      <c r="O69">
        <f>IF(M69=0, -1, K69/M69)</f>
        <v/>
      </c>
      <c r="P69">
        <f>IF(M69=0, -1, L69/M69)</f>
        <v/>
      </c>
    </row>
    <row r="70">
      <c r="A70" t="inlineStr">
        <is>
          <t>RC00127</t>
        </is>
      </c>
      <c r="B70" t="inlineStr">
        <is>
          <t>北京工商大学</t>
        </is>
      </c>
      <c r="C70" t="n">
        <v>3</v>
      </c>
      <c r="D70" t="n">
        <v>13</v>
      </c>
      <c r="E70" t="n">
        <v>24</v>
      </c>
      <c r="F70" t="n">
        <v>8</v>
      </c>
      <c r="G70" t="n">
        <v>136579.2817910378</v>
      </c>
      <c r="H70" t="n">
        <v>229.7811075433019</v>
      </c>
      <c r="I70">
        <f>IF(H70=0, 0, G70/H70)</f>
        <v/>
      </c>
      <c r="J70">
        <f>RANK(I70, I$2:I$1111, 0)</f>
        <v/>
      </c>
      <c r="K70">
        <f>SUM(C70)</f>
        <v/>
      </c>
      <c r="L70">
        <f>SUM(K70,D70)</f>
        <v/>
      </c>
      <c r="M70">
        <f>SUM(L70,E70,F70)</f>
        <v/>
      </c>
      <c r="N70">
        <f>IF(L70=0, -1, K70/L70)</f>
        <v/>
      </c>
      <c r="O70">
        <f>IF(M70=0, -1, K70/M70)</f>
        <v/>
      </c>
      <c r="P70">
        <f>IF(M70=0, -1, L70/M70)</f>
        <v/>
      </c>
    </row>
    <row r="71">
      <c r="A71" t="inlineStr">
        <is>
          <t>RC00059</t>
        </is>
      </c>
      <c r="B71" t="inlineStr">
        <is>
          <t>郑州大学</t>
        </is>
      </c>
      <c r="C71" t="n">
        <v>1</v>
      </c>
      <c r="D71" t="n">
        <v>37</v>
      </c>
      <c r="E71" t="n">
        <v>55</v>
      </c>
      <c r="F71" t="n">
        <v>8</v>
      </c>
      <c r="G71" t="n">
        <v>303277.8485477928</v>
      </c>
      <c r="H71" t="n">
        <v>471.6411226961845</v>
      </c>
      <c r="I71">
        <f>IF(H71=0, 0, G71/H71)</f>
        <v/>
      </c>
      <c r="J71">
        <f>RANK(I71, I$2:I$1111, 0)</f>
        <v/>
      </c>
      <c r="K71">
        <f>SUM(C71)</f>
        <v/>
      </c>
      <c r="L71">
        <f>SUM(K71,D71)</f>
        <v/>
      </c>
      <c r="M71">
        <f>SUM(L71,E71,F71)</f>
        <v/>
      </c>
      <c r="N71">
        <f>IF(L71=0, -1, K71/L71)</f>
        <v/>
      </c>
      <c r="O71">
        <f>IF(M71=0, -1, K71/M71)</f>
        <v/>
      </c>
      <c r="P71">
        <f>IF(M71=0, -1, L71/M71)</f>
        <v/>
      </c>
    </row>
    <row r="72">
      <c r="A72" t="inlineStr">
        <is>
          <t>RC00429</t>
        </is>
      </c>
      <c r="B72" t="inlineStr">
        <is>
          <t>福建师范大学</t>
        </is>
      </c>
      <c r="C72" t="n">
        <v>6</v>
      </c>
      <c r="D72" t="n">
        <v>20</v>
      </c>
      <c r="E72" t="n">
        <v>35</v>
      </c>
      <c r="F72" t="n">
        <v>13</v>
      </c>
      <c r="G72" t="n">
        <v>220670.8726949857</v>
      </c>
      <c r="H72" t="n">
        <v>361.4069526507462</v>
      </c>
      <c r="I72">
        <f>IF(H72=0, 0, G72/H72)</f>
        <v/>
      </c>
      <c r="J72">
        <f>RANK(I72, I$2:I$1111, 0)</f>
        <v/>
      </c>
      <c r="K72">
        <f>SUM(C72)</f>
        <v/>
      </c>
      <c r="L72">
        <f>SUM(K72,D72)</f>
        <v/>
      </c>
      <c r="M72">
        <f>SUM(L72,E72,F72)</f>
        <v/>
      </c>
      <c r="N72">
        <f>IF(L72=0, -1, K72/L72)</f>
        <v/>
      </c>
      <c r="O72">
        <f>IF(M72=0, -1, K72/M72)</f>
        <v/>
      </c>
      <c r="P72">
        <f>IF(M72=0, -1, L72/M72)</f>
        <v/>
      </c>
    </row>
    <row r="73">
      <c r="A73" t="inlineStr">
        <is>
          <t>RC00414</t>
        </is>
      </c>
      <c r="B73" t="inlineStr">
        <is>
          <t>安徽财经大学</t>
        </is>
      </c>
      <c r="C73" t="n">
        <v>1</v>
      </c>
      <c r="D73" t="n">
        <v>13</v>
      </c>
      <c r="E73" t="n">
        <v>29</v>
      </c>
      <c r="F73" t="n">
        <v>5</v>
      </c>
      <c r="G73" t="n">
        <v>138955.4465348815</v>
      </c>
      <c r="H73" t="n">
        <v>244.1898982681208</v>
      </c>
      <c r="I73">
        <f>IF(H73=0, 0, G73/H73)</f>
        <v/>
      </c>
      <c r="J73">
        <f>RANK(I73, I$2:I$1111, 0)</f>
        <v/>
      </c>
      <c r="K73">
        <f>SUM(C73)</f>
        <v/>
      </c>
      <c r="L73">
        <f>SUM(K73,D73)</f>
        <v/>
      </c>
      <c r="M73">
        <f>SUM(L73,E73,F73)</f>
        <v/>
      </c>
      <c r="N73">
        <f>IF(L73=0, -1, K73/L73)</f>
        <v/>
      </c>
      <c r="O73">
        <f>IF(M73=0, -1, K73/M73)</f>
        <v/>
      </c>
      <c r="P73">
        <f>IF(M73=0, -1, L73/M73)</f>
        <v/>
      </c>
    </row>
    <row r="74">
      <c r="A74" t="inlineStr">
        <is>
          <t>RC00098</t>
        </is>
      </c>
      <c r="B74" t="inlineStr">
        <is>
          <t>云南大学</t>
        </is>
      </c>
      <c r="C74" t="n">
        <v>3</v>
      </c>
      <c r="D74" t="n">
        <v>23</v>
      </c>
      <c r="E74" t="n">
        <v>35</v>
      </c>
      <c r="F74" t="n">
        <v>12</v>
      </c>
      <c r="G74" t="n">
        <v>211251.0834290754</v>
      </c>
      <c r="H74" t="n">
        <v>343.7081464161529</v>
      </c>
      <c r="I74">
        <f>IF(H74=0, 0, G74/H74)</f>
        <v/>
      </c>
      <c r="J74">
        <f>RANK(I74, I$2:I$1111, 0)</f>
        <v/>
      </c>
      <c r="K74">
        <f>SUM(C74)</f>
        <v/>
      </c>
      <c r="L74">
        <f>SUM(K74,D74)</f>
        <v/>
      </c>
      <c r="M74">
        <f>SUM(L74,E74,F74)</f>
        <v/>
      </c>
      <c r="N74">
        <f>IF(L74=0, -1, K74/L74)</f>
        <v/>
      </c>
      <c r="O74">
        <f>IF(M74=0, -1, K74/M74)</f>
        <v/>
      </c>
      <c r="P74">
        <f>IF(M74=0, -1, L74/M74)</f>
        <v/>
      </c>
    </row>
    <row r="75">
      <c r="A75" t="inlineStr">
        <is>
          <t>RC00051</t>
        </is>
      </c>
      <c r="B75" t="inlineStr">
        <is>
          <t>华中农业大学</t>
        </is>
      </c>
      <c r="C75" t="n">
        <v>7</v>
      </c>
      <c r="D75" t="n">
        <v>23</v>
      </c>
      <c r="E75" t="n">
        <v>30</v>
      </c>
      <c r="F75" t="n">
        <v>4</v>
      </c>
      <c r="G75" t="n">
        <v>190358.5266749625</v>
      </c>
      <c r="H75" t="n">
        <v>292.6023876055253</v>
      </c>
      <c r="I75">
        <f>IF(H75=0, 0, G75/H75)</f>
        <v/>
      </c>
      <c r="J75">
        <f>RANK(I75, I$2:I$1111, 0)</f>
        <v/>
      </c>
      <c r="K75">
        <f>SUM(C75)</f>
        <v/>
      </c>
      <c r="L75">
        <f>SUM(K75,D75)</f>
        <v/>
      </c>
      <c r="M75">
        <f>SUM(L75,E75,F75)</f>
        <v/>
      </c>
      <c r="N75">
        <f>IF(L75=0, -1, K75/L75)</f>
        <v/>
      </c>
      <c r="O75">
        <f>IF(M75=0, -1, K75/M75)</f>
        <v/>
      </c>
      <c r="P75">
        <f>IF(M75=0, -1, L75/M75)</f>
        <v/>
      </c>
    </row>
    <row r="76">
      <c r="A76" t="inlineStr">
        <is>
          <t>RC00179</t>
        </is>
      </c>
      <c r="B76" t="inlineStr">
        <is>
          <t>河北大学</t>
        </is>
      </c>
      <c r="C76" t="n">
        <v>0</v>
      </c>
      <c r="D76" t="n">
        <v>8</v>
      </c>
      <c r="E76" t="n">
        <v>45</v>
      </c>
      <c r="F76" t="n">
        <v>25</v>
      </c>
      <c r="G76" t="n">
        <v>188791.3170061293</v>
      </c>
      <c r="H76" t="n">
        <v>378.822295088702</v>
      </c>
      <c r="I76">
        <f>IF(H76=0, 0, G76/H76)</f>
        <v/>
      </c>
      <c r="J76">
        <f>RANK(I76, I$2:I$1111, 0)</f>
        <v/>
      </c>
      <c r="K76">
        <f>SUM(C76)</f>
        <v/>
      </c>
      <c r="L76">
        <f>SUM(K76,D76)</f>
        <v/>
      </c>
      <c r="M76">
        <f>SUM(L76,E76,F76)</f>
        <v/>
      </c>
      <c r="N76">
        <f>IF(L76=0, -1, K76/L76)</f>
        <v/>
      </c>
      <c r="O76">
        <f>IF(M76=0, -1, K76/M76)</f>
        <v/>
      </c>
      <c r="P76">
        <f>IF(M76=0, -1, L76/M76)</f>
        <v/>
      </c>
    </row>
    <row r="77">
      <c r="A77" t="inlineStr">
        <is>
          <t>RC00027</t>
        </is>
      </c>
      <c r="B77" t="inlineStr">
        <is>
          <t>华东理工大学</t>
        </is>
      </c>
      <c r="C77" t="n">
        <v>6</v>
      </c>
      <c r="D77" t="n">
        <v>28</v>
      </c>
      <c r="E77" t="n">
        <v>26</v>
      </c>
      <c r="F77" t="n">
        <v>2</v>
      </c>
      <c r="G77" t="n">
        <v>206296.7952355116</v>
      </c>
      <c r="H77" t="n">
        <v>303.4289194391253</v>
      </c>
      <c r="I77">
        <f>IF(H77=0, 0, G77/H77)</f>
        <v/>
      </c>
      <c r="J77">
        <f>RANK(I77, I$2:I$1111, 0)</f>
        <v/>
      </c>
      <c r="K77">
        <f>SUM(C77)</f>
        <v/>
      </c>
      <c r="L77">
        <f>SUM(K77,D77)</f>
        <v/>
      </c>
      <c r="M77">
        <f>SUM(L77,E77,F77)</f>
        <v/>
      </c>
      <c r="N77">
        <f>IF(L77=0, -1, K77/L77)</f>
        <v/>
      </c>
      <c r="O77">
        <f>IF(M77=0, -1, K77/M77)</f>
        <v/>
      </c>
      <c r="P77">
        <f>IF(M77=0, -1, L77/M77)</f>
        <v/>
      </c>
    </row>
    <row r="78">
      <c r="A78" t="inlineStr">
        <is>
          <t>RC00123</t>
        </is>
      </c>
      <c r="B78" t="inlineStr">
        <is>
          <t>广西大学</t>
        </is>
      </c>
      <c r="C78" t="n">
        <v>2</v>
      </c>
      <c r="D78" t="n">
        <v>16</v>
      </c>
      <c r="E78" t="n">
        <v>42</v>
      </c>
      <c r="F78" t="n">
        <v>5</v>
      </c>
      <c r="G78" t="n">
        <v>183313.1816550922</v>
      </c>
      <c r="H78" t="n">
        <v>308.5370831085089</v>
      </c>
      <c r="I78">
        <f>IF(H78=0, 0, G78/H78)</f>
        <v/>
      </c>
      <c r="J78">
        <f>RANK(I78, I$2:I$1111, 0)</f>
        <v/>
      </c>
      <c r="K78">
        <f>SUM(C78)</f>
        <v/>
      </c>
      <c r="L78">
        <f>SUM(K78,D78)</f>
        <v/>
      </c>
      <c r="M78">
        <f>SUM(L78,E78,F78)</f>
        <v/>
      </c>
      <c r="N78">
        <f>IF(L78=0, -1, K78/L78)</f>
        <v/>
      </c>
      <c r="O78">
        <f>IF(M78=0, -1, K78/M78)</f>
        <v/>
      </c>
      <c r="P78">
        <f>IF(M78=0, -1, L78/M78)</f>
        <v/>
      </c>
    </row>
    <row r="79">
      <c r="A79" t="inlineStr">
        <is>
          <t>RC00565</t>
        </is>
      </c>
      <c r="B79" t="inlineStr">
        <is>
          <t>湘潭大学</t>
        </is>
      </c>
      <c r="C79" t="n">
        <v>1</v>
      </c>
      <c r="D79" t="n">
        <v>6</v>
      </c>
      <c r="E79" t="n">
        <v>52</v>
      </c>
      <c r="F79" t="n">
        <v>12</v>
      </c>
      <c r="G79" t="n">
        <v>192680.239995397</v>
      </c>
      <c r="H79" t="n">
        <v>341.593778653274</v>
      </c>
      <c r="I79">
        <f>IF(H79=0, 0, G79/H79)</f>
        <v/>
      </c>
      <c r="J79">
        <f>RANK(I79, I$2:I$1111, 0)</f>
        <v/>
      </c>
      <c r="K79">
        <f>SUM(C79)</f>
        <v/>
      </c>
      <c r="L79">
        <f>SUM(K79,D79)</f>
        <v/>
      </c>
      <c r="M79">
        <f>SUM(L79,E79,F79)</f>
        <v/>
      </c>
      <c r="N79">
        <f>IF(L79=0, -1, K79/L79)</f>
        <v/>
      </c>
      <c r="O79">
        <f>IF(M79=0, -1, K79/M79)</f>
        <v/>
      </c>
      <c r="P79">
        <f>IF(M79=0, -1, L79/M79)</f>
        <v/>
      </c>
    </row>
    <row r="80">
      <c r="A80" t="inlineStr">
        <is>
          <t>RC00109</t>
        </is>
      </c>
      <c r="B80" t="inlineStr">
        <is>
          <t>华中师范大学</t>
        </is>
      </c>
      <c r="C80" t="n">
        <v>6</v>
      </c>
      <c r="D80" t="n">
        <v>34</v>
      </c>
      <c r="E80" t="n">
        <v>33</v>
      </c>
      <c r="F80" t="n">
        <v>3</v>
      </c>
      <c r="G80" t="n">
        <v>245412.8538879175</v>
      </c>
      <c r="H80" t="n">
        <v>361.6252932416267</v>
      </c>
      <c r="I80">
        <f>IF(H80=0, 0, G80/H80)</f>
        <v/>
      </c>
      <c r="J80">
        <f>RANK(I80, I$2:I$1111, 0)</f>
        <v/>
      </c>
      <c r="K80">
        <f>SUM(C80)</f>
        <v/>
      </c>
      <c r="L80">
        <f>SUM(K80,D80)</f>
        <v/>
      </c>
      <c r="M80">
        <f>SUM(L80,E80,F80)</f>
        <v/>
      </c>
      <c r="N80">
        <f>IF(L80=0, -1, K80/L80)</f>
        <v/>
      </c>
      <c r="O80">
        <f>IF(M80=0, -1, K80/M80)</f>
        <v/>
      </c>
      <c r="P80">
        <f>IF(M80=0, -1, L80/M80)</f>
        <v/>
      </c>
    </row>
    <row r="81">
      <c r="A81" t="inlineStr">
        <is>
          <t>RC00008</t>
        </is>
      </c>
      <c r="B81" t="inlineStr">
        <is>
          <t>哈尔滨工业大学</t>
        </is>
      </c>
      <c r="C81" t="n">
        <v>49</v>
      </c>
      <c r="D81" t="n">
        <v>38</v>
      </c>
      <c r="E81" t="n">
        <v>20</v>
      </c>
      <c r="F81" t="n">
        <v>4</v>
      </c>
      <c r="G81" t="n">
        <v>400384.0791416732</v>
      </c>
      <c r="H81" t="n">
        <v>475.0228220190231</v>
      </c>
      <c r="I81">
        <f>IF(H81=0, 0, G81/H81)</f>
        <v/>
      </c>
      <c r="J81">
        <f>RANK(I81, I$2:I$1111, 0)</f>
        <v/>
      </c>
      <c r="K81">
        <f>SUM(C81)</f>
        <v/>
      </c>
      <c r="L81">
        <f>SUM(K81,D81)</f>
        <v/>
      </c>
      <c r="M81">
        <f>SUM(L81,E81,F81)</f>
        <v/>
      </c>
      <c r="N81">
        <f>IF(L81=0, -1, K81/L81)</f>
        <v/>
      </c>
      <c r="O81">
        <f>IF(M81=0, -1, K81/M81)</f>
        <v/>
      </c>
      <c r="P81">
        <f>IF(M81=0, -1, L81/M81)</f>
        <v/>
      </c>
    </row>
    <row r="82">
      <c r="A82" t="inlineStr">
        <is>
          <t>RC00120</t>
        </is>
      </c>
      <c r="B82" t="inlineStr">
        <is>
          <t>河南大学</t>
        </is>
      </c>
      <c r="C82" t="n">
        <v>0</v>
      </c>
      <c r="D82" t="n">
        <v>23</v>
      </c>
      <c r="E82" t="n">
        <v>49</v>
      </c>
      <c r="F82" t="n">
        <v>15</v>
      </c>
      <c r="G82" t="n">
        <v>239002.2820387184</v>
      </c>
      <c r="H82" t="n">
        <v>412.3673129983916</v>
      </c>
      <c r="I82">
        <f>IF(H82=0, 0, G82/H82)</f>
        <v/>
      </c>
      <c r="J82">
        <f>RANK(I82, I$2:I$1111, 0)</f>
        <v/>
      </c>
      <c r="K82">
        <f>SUM(C82)</f>
        <v/>
      </c>
      <c r="L82">
        <f>SUM(K82,D82)</f>
        <v/>
      </c>
      <c r="M82">
        <f>SUM(L82,E82,F82)</f>
        <v/>
      </c>
      <c r="N82">
        <f>IF(L82=0, -1, K82/L82)</f>
        <v/>
      </c>
      <c r="O82">
        <f>IF(M82=0, -1, K82/M82)</f>
        <v/>
      </c>
      <c r="P82">
        <f>IF(M82=0, -1, L82/M82)</f>
        <v/>
      </c>
    </row>
    <row r="83">
      <c r="A83" t="inlineStr">
        <is>
          <t>RC00716</t>
        </is>
      </c>
      <c r="B83" t="inlineStr">
        <is>
          <t>云南财经大学</t>
        </is>
      </c>
      <c r="C83" t="n">
        <v>0</v>
      </c>
      <c r="D83" t="n">
        <v>3</v>
      </c>
      <c r="E83" t="n">
        <v>33</v>
      </c>
      <c r="F83" t="n">
        <v>19</v>
      </c>
      <c r="G83" t="n">
        <v>126826.6983021243</v>
      </c>
      <c r="H83" t="n">
        <v>258.7299733915817</v>
      </c>
      <c r="I83">
        <f>IF(H83=0, 0, G83/H83)</f>
        <v/>
      </c>
      <c r="J83">
        <f>RANK(I83, I$2:I$1111, 0)</f>
        <v/>
      </c>
      <c r="K83">
        <f>SUM(C83)</f>
        <v/>
      </c>
      <c r="L83">
        <f>SUM(K83,D83)</f>
        <v/>
      </c>
      <c r="M83">
        <f>SUM(L83,E83,F83)</f>
        <v/>
      </c>
      <c r="N83">
        <f>IF(L83=0, -1, K83/L83)</f>
        <v/>
      </c>
      <c r="O83">
        <f>IF(M83=0, -1, K83/M83)</f>
        <v/>
      </c>
      <c r="P83">
        <f>IF(M83=0, -1, L83/M83)</f>
        <v/>
      </c>
    </row>
    <row r="84">
      <c r="A84" t="inlineStr">
        <is>
          <t>RC00253</t>
        </is>
      </c>
      <c r="B84" t="inlineStr">
        <is>
          <t>大连海事大学</t>
        </is>
      </c>
      <c r="C84" t="n">
        <v>5</v>
      </c>
      <c r="D84" t="n">
        <v>18</v>
      </c>
      <c r="E84" t="n">
        <v>25</v>
      </c>
      <c r="F84" t="n">
        <v>4</v>
      </c>
      <c r="G84" t="n">
        <v>150689.4362746899</v>
      </c>
      <c r="H84" t="n">
        <v>249.7945547223051</v>
      </c>
      <c r="I84">
        <f>IF(H84=0, 0, G84/H84)</f>
        <v/>
      </c>
      <c r="J84">
        <f>RANK(I84, I$2:I$1111, 0)</f>
        <v/>
      </c>
      <c r="K84">
        <f>SUM(C84)</f>
        <v/>
      </c>
      <c r="L84">
        <f>SUM(K84,D84)</f>
        <v/>
      </c>
      <c r="M84">
        <f>SUM(L84,E84,F84)</f>
        <v/>
      </c>
      <c r="N84">
        <f>IF(L84=0, -1, K84/L84)</f>
        <v/>
      </c>
      <c r="O84">
        <f>IF(M84=0, -1, K84/M84)</f>
        <v/>
      </c>
      <c r="P84">
        <f>IF(M84=0, -1, L84/M84)</f>
        <v/>
      </c>
    </row>
    <row r="85">
      <c r="A85" t="inlineStr">
        <is>
          <t>RC00224</t>
        </is>
      </c>
      <c r="B85" t="inlineStr">
        <is>
          <t>山西财经大学</t>
        </is>
      </c>
      <c r="C85" t="n">
        <v>0</v>
      </c>
      <c r="D85" t="n">
        <v>7</v>
      </c>
      <c r="E85" t="n">
        <v>32</v>
      </c>
      <c r="F85" t="n">
        <v>7</v>
      </c>
      <c r="G85" t="n">
        <v>120884.354406343</v>
      </c>
      <c r="H85" t="n">
        <v>212.438953485934</v>
      </c>
      <c r="I85">
        <f>IF(H85=0, 0, G85/H85)</f>
        <v/>
      </c>
      <c r="J85">
        <f>RANK(I85, I$2:I$1111, 0)</f>
        <v/>
      </c>
      <c r="K85">
        <f>SUM(C85)</f>
        <v/>
      </c>
      <c r="L85">
        <f>SUM(K85,D85)</f>
        <v/>
      </c>
      <c r="M85">
        <f>SUM(L85,E85,F85)</f>
        <v/>
      </c>
      <c r="N85">
        <f>IF(L85=0, -1, K85/L85)</f>
        <v/>
      </c>
      <c r="O85">
        <f>IF(M85=0, -1, K85/M85)</f>
        <v/>
      </c>
      <c r="P85">
        <f>IF(M85=0, -1, L85/M85)</f>
        <v/>
      </c>
    </row>
    <row r="86">
      <c r="A86" t="inlineStr">
        <is>
          <t>RC00093</t>
        </is>
      </c>
      <c r="B86" t="inlineStr">
        <is>
          <t>青岛大学</t>
        </is>
      </c>
      <c r="C86" t="n">
        <v>1</v>
      </c>
      <c r="D86" t="n">
        <v>9</v>
      </c>
      <c r="E86" t="n">
        <v>47</v>
      </c>
      <c r="F86" t="n">
        <v>16</v>
      </c>
      <c r="G86" t="n">
        <v>188068.1369368741</v>
      </c>
      <c r="H86" t="n">
        <v>352.6155009545037</v>
      </c>
      <c r="I86">
        <f>IF(H86=0, 0, G86/H86)</f>
        <v/>
      </c>
      <c r="J86">
        <f>RANK(I86, I$2:I$1111, 0)</f>
        <v/>
      </c>
      <c r="K86">
        <f>SUM(C86)</f>
        <v/>
      </c>
      <c r="L86">
        <f>SUM(K86,D86)</f>
        <v/>
      </c>
      <c r="M86">
        <f>SUM(L86,E86,F86)</f>
        <v/>
      </c>
      <c r="N86">
        <f>IF(L86=0, -1, K86/L86)</f>
        <v/>
      </c>
      <c r="O86">
        <f>IF(M86=0, -1, K86/M86)</f>
        <v/>
      </c>
      <c r="P86">
        <f>IF(M86=0, -1, L86/M86)</f>
        <v/>
      </c>
    </row>
    <row r="87">
      <c r="A87" t="inlineStr">
        <is>
          <t>RC00032</t>
        </is>
      </c>
      <c r="B87" t="inlineStr">
        <is>
          <t>武汉理工大学</t>
        </is>
      </c>
      <c r="C87" t="n">
        <v>7</v>
      </c>
      <c r="D87" t="n">
        <v>42</v>
      </c>
      <c r="E87" t="n">
        <v>36</v>
      </c>
      <c r="F87" t="n">
        <v>6</v>
      </c>
      <c r="G87" t="n">
        <v>287260.6879716501</v>
      </c>
      <c r="H87" t="n">
        <v>424.0414012190379</v>
      </c>
      <c r="I87">
        <f>IF(H87=0, 0, G87/H87)</f>
        <v/>
      </c>
      <c r="J87">
        <f>RANK(I87, I$2:I$1111, 0)</f>
        <v/>
      </c>
      <c r="K87">
        <f>SUM(C87)</f>
        <v/>
      </c>
      <c r="L87">
        <f>SUM(K87,D87)</f>
        <v/>
      </c>
      <c r="M87">
        <f>SUM(L87,E87,F87)</f>
        <v/>
      </c>
      <c r="N87">
        <f>IF(L87=0, -1, K87/L87)</f>
        <v/>
      </c>
      <c r="O87">
        <f>IF(M87=0, -1, K87/M87)</f>
        <v/>
      </c>
      <c r="P87">
        <f>IF(M87=0, -1, L87/M87)</f>
        <v/>
      </c>
    </row>
    <row r="88">
      <c r="A88" t="inlineStr">
        <is>
          <t>RC00567</t>
        </is>
      </c>
      <c r="B88" t="inlineStr">
        <is>
          <t>湖南科技大学</t>
        </is>
      </c>
      <c r="C88" t="n">
        <v>2</v>
      </c>
      <c r="D88" t="n">
        <v>4</v>
      </c>
      <c r="E88" t="n">
        <v>48</v>
      </c>
      <c r="F88" t="n">
        <v>23</v>
      </c>
      <c r="G88" t="n">
        <v>181567.0831277572</v>
      </c>
      <c r="H88" t="n">
        <v>380.6464271081516</v>
      </c>
      <c r="I88">
        <f>IF(H88=0, 0, G88/H88)</f>
        <v/>
      </c>
      <c r="J88">
        <f>RANK(I88, I$2:I$1111, 0)</f>
        <v/>
      </c>
      <c r="K88">
        <f>SUM(C88)</f>
        <v/>
      </c>
      <c r="L88">
        <f>SUM(K88,D88)</f>
        <v/>
      </c>
      <c r="M88">
        <f>SUM(L88,E88,F88)</f>
        <v/>
      </c>
      <c r="N88">
        <f>IF(L88=0, -1, K88/L88)</f>
        <v/>
      </c>
      <c r="O88">
        <f>IF(M88=0, -1, K88/M88)</f>
        <v/>
      </c>
      <c r="P88">
        <f>IF(M88=0, -1, L88/M88)</f>
        <v/>
      </c>
    </row>
    <row r="89">
      <c r="A89" t="inlineStr">
        <is>
          <t>RC00050</t>
        </is>
      </c>
      <c r="B89" t="inlineStr">
        <is>
          <t>中国地质大学（北京）</t>
        </is>
      </c>
      <c r="C89" t="n">
        <v>5</v>
      </c>
      <c r="D89" t="n">
        <v>6</v>
      </c>
      <c r="E89" t="n">
        <v>35</v>
      </c>
      <c r="F89" t="n">
        <v>6</v>
      </c>
      <c r="G89" t="n">
        <v>130108.5065750846</v>
      </c>
      <c r="H89" t="n">
        <v>221.458574482985</v>
      </c>
      <c r="I89">
        <f>IF(H89=0, 0, G89/H89)</f>
        <v/>
      </c>
      <c r="J89">
        <f>RANK(I89, I$2:I$1111, 0)</f>
        <v/>
      </c>
      <c r="K89">
        <f>SUM(C89)</f>
        <v/>
      </c>
      <c r="L89">
        <f>SUM(K89,D89)</f>
        <v/>
      </c>
      <c r="M89">
        <f>SUM(L89,E89,F89)</f>
        <v/>
      </c>
      <c r="N89">
        <f>IF(L89=0, -1, K89/L89)</f>
        <v/>
      </c>
      <c r="O89">
        <f>IF(M89=0, -1, K89/M89)</f>
        <v/>
      </c>
      <c r="P89">
        <f>IF(M89=0, -1, L89/M89)</f>
        <v/>
      </c>
    </row>
    <row r="90">
      <c r="A90" t="inlineStr">
        <is>
          <t>RC00174</t>
        </is>
      </c>
      <c r="B90" t="inlineStr">
        <is>
          <t>天津财经大学</t>
        </is>
      </c>
      <c r="C90" t="n">
        <v>0</v>
      </c>
      <c r="D90" t="n">
        <v>13</v>
      </c>
      <c r="E90" t="n">
        <v>21</v>
      </c>
      <c r="F90" t="n">
        <v>12</v>
      </c>
      <c r="G90" t="n">
        <v>124909.9398521107</v>
      </c>
      <c r="H90" t="n">
        <v>229.8158484006733</v>
      </c>
      <c r="I90">
        <f>IF(H90=0, 0, G90/H90)</f>
        <v/>
      </c>
      <c r="J90">
        <f>RANK(I90, I$2:I$1111, 0)</f>
        <v/>
      </c>
      <c r="K90">
        <f>SUM(C90)</f>
        <v/>
      </c>
      <c r="L90">
        <f>SUM(K90,D90)</f>
        <v/>
      </c>
      <c r="M90">
        <f>SUM(L90,E90,F90)</f>
        <v/>
      </c>
      <c r="N90">
        <f>IF(L90=0, -1, K90/L90)</f>
        <v/>
      </c>
      <c r="O90">
        <f>IF(M90=0, -1, K90/M90)</f>
        <v/>
      </c>
      <c r="P90">
        <f>IF(M90=0, -1, L90/M90)</f>
        <v/>
      </c>
    </row>
    <row r="91">
      <c r="A91" t="inlineStr">
        <is>
          <t>RC00078</t>
        </is>
      </c>
      <c r="B91" t="inlineStr">
        <is>
          <t>福州大学</t>
        </is>
      </c>
      <c r="C91" t="n">
        <v>0</v>
      </c>
      <c r="D91" t="n">
        <v>31</v>
      </c>
      <c r="E91" t="n">
        <v>40</v>
      </c>
      <c r="F91" t="n">
        <v>10</v>
      </c>
      <c r="G91" t="n">
        <v>242842.4340773363</v>
      </c>
      <c r="H91" t="n">
        <v>392.4592506502072</v>
      </c>
      <c r="I91">
        <f>IF(H91=0, 0, G91/H91)</f>
        <v/>
      </c>
      <c r="J91">
        <f>RANK(I91, I$2:I$1111, 0)</f>
        <v/>
      </c>
      <c r="K91">
        <f>SUM(C91)</f>
        <v/>
      </c>
      <c r="L91">
        <f>SUM(K91,D91)</f>
        <v/>
      </c>
      <c r="M91">
        <f>SUM(L91,E91,F91)</f>
        <v/>
      </c>
      <c r="N91">
        <f>IF(L91=0, -1, K91/L91)</f>
        <v/>
      </c>
      <c r="O91">
        <f>IF(M91=0, -1, K91/M91)</f>
        <v/>
      </c>
      <c r="P91">
        <f>IF(M91=0, -1, L91/M91)</f>
        <v/>
      </c>
    </row>
    <row r="92">
      <c r="A92" t="inlineStr">
        <is>
          <t>RC00057</t>
        </is>
      </c>
      <c r="B92" t="inlineStr">
        <is>
          <t>合肥工业大学</t>
        </is>
      </c>
      <c r="C92" t="n">
        <v>5</v>
      </c>
      <c r="D92" t="n">
        <v>29</v>
      </c>
      <c r="E92" t="n">
        <v>41</v>
      </c>
      <c r="F92" t="n">
        <v>7</v>
      </c>
      <c r="G92" t="n">
        <v>252538.3396315636</v>
      </c>
      <c r="H92" t="n">
        <v>388.0235791585351</v>
      </c>
      <c r="I92">
        <f>IF(H92=0, 0, G92/H92)</f>
        <v/>
      </c>
      <c r="J92">
        <f>RANK(I92, I$2:I$1111, 0)</f>
        <v/>
      </c>
      <c r="K92">
        <f>SUM(C92)</f>
        <v/>
      </c>
      <c r="L92">
        <f>SUM(K92,D92)</f>
        <v/>
      </c>
      <c r="M92">
        <f>SUM(L92,E92,F92)</f>
        <v/>
      </c>
      <c r="N92">
        <f>IF(L92=0, -1, K92/L92)</f>
        <v/>
      </c>
      <c r="O92">
        <f>IF(M92=0, -1, K92/M92)</f>
        <v/>
      </c>
      <c r="P92">
        <f>IF(M92=0, -1, L92/M92)</f>
        <v/>
      </c>
    </row>
    <row r="93">
      <c r="A93" t="inlineStr">
        <is>
          <t>RC00607</t>
        </is>
      </c>
      <c r="B93" t="inlineStr">
        <is>
          <t>广东财经大学</t>
        </is>
      </c>
      <c r="C93" t="n">
        <v>2</v>
      </c>
      <c r="D93" t="n">
        <v>10</v>
      </c>
      <c r="E93" t="n">
        <v>30</v>
      </c>
      <c r="F93" t="n">
        <v>15</v>
      </c>
      <c r="G93" t="n">
        <v>149150.0993092525</v>
      </c>
      <c r="H93" t="n">
        <v>283.964078198825</v>
      </c>
      <c r="I93">
        <f>IF(H93=0, 0, G93/H93)</f>
        <v/>
      </c>
      <c r="J93">
        <f>RANK(I93, I$2:I$1111, 0)</f>
        <v/>
      </c>
      <c r="K93">
        <f>SUM(C93)</f>
        <v/>
      </c>
      <c r="L93">
        <f>SUM(K93,D93)</f>
        <v/>
      </c>
      <c r="M93">
        <f>SUM(L93,E93,F93)</f>
        <v/>
      </c>
      <c r="N93">
        <f>IF(L93=0, -1, K93/L93)</f>
        <v/>
      </c>
      <c r="O93">
        <f>IF(M93=0, -1, K93/M93)</f>
        <v/>
      </c>
      <c r="P93">
        <f>IF(M93=0, -1, L93/M93)</f>
        <v/>
      </c>
    </row>
    <row r="94">
      <c r="A94" t="inlineStr">
        <is>
          <t>RC00780</t>
        </is>
      </c>
      <c r="B94" t="inlineStr">
        <is>
          <t>石河子大学</t>
        </is>
      </c>
      <c r="C94" t="n">
        <v>0</v>
      </c>
      <c r="D94" t="n">
        <v>3</v>
      </c>
      <c r="E94" t="n">
        <v>43</v>
      </c>
      <c r="F94" t="n">
        <v>35</v>
      </c>
      <c r="G94" t="n">
        <v>178674.5374657708</v>
      </c>
      <c r="H94" t="n">
        <v>378.0704068785642</v>
      </c>
      <c r="I94">
        <f>IF(H94=0, 0, G94/H94)</f>
        <v/>
      </c>
      <c r="J94">
        <f>RANK(I94, I$2:I$1111, 0)</f>
        <v/>
      </c>
      <c r="K94">
        <f>SUM(C94)</f>
        <v/>
      </c>
      <c r="L94">
        <f>SUM(K94,D94)</f>
        <v/>
      </c>
      <c r="M94">
        <f>SUM(L94,E94,F94)</f>
        <v/>
      </c>
      <c r="N94">
        <f>IF(L94=0, -1, K94/L94)</f>
        <v/>
      </c>
      <c r="O94">
        <f>IF(M94=0, -1, K94/M94)</f>
        <v/>
      </c>
      <c r="P94">
        <f>IF(M94=0, -1, L94/M94)</f>
        <v/>
      </c>
    </row>
    <row r="95">
      <c r="A95" t="inlineStr">
        <is>
          <t>RC00117</t>
        </is>
      </c>
      <c r="B95" t="inlineStr">
        <is>
          <t>南京邮电大学</t>
        </is>
      </c>
      <c r="C95" t="n">
        <v>6</v>
      </c>
      <c r="D95" t="n">
        <v>18</v>
      </c>
      <c r="E95" t="n">
        <v>25</v>
      </c>
      <c r="F95" t="n">
        <v>2</v>
      </c>
      <c r="G95" t="n">
        <v>163178.2985397678</v>
      </c>
      <c r="H95" t="n">
        <v>242.6277168367694</v>
      </c>
      <c r="I95">
        <f>IF(H95=0, 0, G95/H95)</f>
        <v/>
      </c>
      <c r="J95">
        <f>RANK(I95, I$2:I$1111, 0)</f>
        <v/>
      </c>
      <c r="K95">
        <f>SUM(C95)</f>
        <v/>
      </c>
      <c r="L95">
        <f>SUM(K95,D95)</f>
        <v/>
      </c>
      <c r="M95">
        <f>SUM(L95,E95,F95)</f>
        <v/>
      </c>
      <c r="N95">
        <f>IF(L95=0, -1, K95/L95)</f>
        <v/>
      </c>
      <c r="O95">
        <f>IF(M95=0, -1, K95/M95)</f>
        <v/>
      </c>
      <c r="P95">
        <f>IF(M95=0, -1, L95/M95)</f>
        <v/>
      </c>
    </row>
    <row r="96">
      <c r="A96" t="inlineStr">
        <is>
          <t>RC00063</t>
        </is>
      </c>
      <c r="B96" t="inlineStr">
        <is>
          <t>西北农林科技大学</t>
        </is>
      </c>
      <c r="C96" t="n">
        <v>11</v>
      </c>
      <c r="D96" t="n">
        <v>17</v>
      </c>
      <c r="E96" t="n">
        <v>38</v>
      </c>
      <c r="F96" t="n">
        <v>8</v>
      </c>
      <c r="G96" t="n">
        <v>195922.8283478671</v>
      </c>
      <c r="H96" t="n">
        <v>313.6379184091653</v>
      </c>
      <c r="I96">
        <f>IF(H96=0, 0, G96/H96)</f>
        <v/>
      </c>
      <c r="J96">
        <f>RANK(I96, I$2:I$1111, 0)</f>
        <v/>
      </c>
      <c r="K96">
        <f>SUM(C96)</f>
        <v/>
      </c>
      <c r="L96">
        <f>SUM(K96,D96)</f>
        <v/>
      </c>
      <c r="M96">
        <f>SUM(L96,E96,F96)</f>
        <v/>
      </c>
      <c r="N96">
        <f>IF(L96=0, -1, K96/L96)</f>
        <v/>
      </c>
      <c r="O96">
        <f>IF(M96=0, -1, K96/M96)</f>
        <v/>
      </c>
      <c r="P96">
        <f>IF(M96=0, -1, L96/M96)</f>
        <v/>
      </c>
    </row>
    <row r="97">
      <c r="A97" t="inlineStr">
        <is>
          <t>RC00608</t>
        </is>
      </c>
      <c r="B97" t="inlineStr">
        <is>
          <t>广州大学</t>
        </is>
      </c>
      <c r="C97" t="n">
        <v>1</v>
      </c>
      <c r="D97" t="n">
        <v>27</v>
      </c>
      <c r="E97" t="n">
        <v>42</v>
      </c>
      <c r="F97" t="n">
        <v>5</v>
      </c>
      <c r="G97" t="n">
        <v>227350.1318335592</v>
      </c>
      <c r="H97" t="n">
        <v>383.6167317162564</v>
      </c>
      <c r="I97">
        <f>IF(H97=0, 0, G97/H97)</f>
        <v/>
      </c>
      <c r="J97">
        <f>RANK(I97, I$2:I$1111, 0)</f>
        <v/>
      </c>
      <c r="K97">
        <f>SUM(C97)</f>
        <v/>
      </c>
      <c r="L97">
        <f>SUM(K97,D97)</f>
        <v/>
      </c>
      <c r="M97">
        <f>SUM(L97,E97,F97)</f>
        <v/>
      </c>
      <c r="N97">
        <f>IF(L97=0, -1, K97/L97)</f>
        <v/>
      </c>
      <c r="O97">
        <f>IF(M97=0, -1, K97/M97)</f>
        <v/>
      </c>
      <c r="P97">
        <f>IF(M97=0, -1, L97/M97)</f>
        <v/>
      </c>
    </row>
    <row r="98">
      <c r="A98" t="inlineStr">
        <is>
          <t>RC00107</t>
        </is>
      </c>
      <c r="B98" t="inlineStr">
        <is>
          <t>华侨大学</t>
        </is>
      </c>
      <c r="C98" t="n">
        <v>3</v>
      </c>
      <c r="D98" t="n">
        <v>11</v>
      </c>
      <c r="E98" t="n">
        <v>40</v>
      </c>
      <c r="F98" t="n">
        <v>9</v>
      </c>
      <c r="G98" t="n">
        <v>170083.4256719381</v>
      </c>
      <c r="H98" t="n">
        <v>311.8806592935109</v>
      </c>
      <c r="I98">
        <f>IF(H98=0, 0, G98/H98)</f>
        <v/>
      </c>
      <c r="J98">
        <f>RANK(I98, I$2:I$1111, 0)</f>
        <v/>
      </c>
      <c r="K98">
        <f>SUM(C98)</f>
        <v/>
      </c>
      <c r="L98">
        <f>SUM(K98,D98)</f>
        <v/>
      </c>
      <c r="M98">
        <f>SUM(L98,E98,F98)</f>
        <v/>
      </c>
      <c r="N98">
        <f>IF(L98=0, -1, K98/L98)</f>
        <v/>
      </c>
      <c r="O98">
        <f>IF(M98=0, -1, K98/M98)</f>
        <v/>
      </c>
      <c r="P98">
        <f>IF(M98=0, -1, L98/M98)</f>
        <v/>
      </c>
    </row>
    <row r="99">
      <c r="A99" t="inlineStr">
        <is>
          <t>RC00580</t>
        </is>
      </c>
      <c r="B99" t="inlineStr">
        <is>
          <t>湖南工商大学</t>
        </is>
      </c>
      <c r="C99" t="n">
        <v>0</v>
      </c>
      <c r="D99" t="n">
        <v>10</v>
      </c>
      <c r="E99" t="n">
        <v>32</v>
      </c>
      <c r="F99" t="n">
        <v>17</v>
      </c>
      <c r="G99" t="n">
        <v>147116.7960320416</v>
      </c>
      <c r="H99" t="n">
        <v>294.3795360268458</v>
      </c>
      <c r="I99">
        <f>IF(H99=0, 0, G99/H99)</f>
        <v/>
      </c>
      <c r="J99">
        <f>RANK(I99, I$2:I$1111, 0)</f>
        <v/>
      </c>
      <c r="K99">
        <f>SUM(C99)</f>
        <v/>
      </c>
      <c r="L99">
        <f>SUM(K99,D99)</f>
        <v/>
      </c>
      <c r="M99">
        <f>SUM(L99,E99,F99)</f>
        <v/>
      </c>
      <c r="N99">
        <f>IF(L99=0, -1, K99/L99)</f>
        <v/>
      </c>
      <c r="O99">
        <f>IF(M99=0, -1, K99/M99)</f>
        <v/>
      </c>
      <c r="P99">
        <f>IF(M99=0, -1, L99/M99)</f>
        <v/>
      </c>
    </row>
    <row r="100">
      <c r="A100" t="inlineStr">
        <is>
          <t>RC00449</t>
        </is>
      </c>
      <c r="B100" t="inlineStr">
        <is>
          <t>江西师范大学</t>
        </is>
      </c>
      <c r="C100" t="n">
        <v>0</v>
      </c>
      <c r="D100" t="n">
        <v>16</v>
      </c>
      <c r="E100" t="n">
        <v>41</v>
      </c>
      <c r="F100" t="n">
        <v>12</v>
      </c>
      <c r="G100" t="n">
        <v>192172.5758987996</v>
      </c>
      <c r="H100" t="n">
        <v>350.5461764561246</v>
      </c>
      <c r="I100">
        <f>IF(H100=0, 0, G100/H100)</f>
        <v/>
      </c>
      <c r="J100">
        <f>RANK(I100, I$2:I$1111, 0)</f>
        <v/>
      </c>
      <c r="K100">
        <f>SUM(C100)</f>
        <v/>
      </c>
      <c r="L100">
        <f>SUM(K100,D100)</f>
        <v/>
      </c>
      <c r="M100">
        <f>SUM(L100,E100,F100)</f>
        <v/>
      </c>
      <c r="N100">
        <f>IF(L100=0, -1, K100/L100)</f>
        <v/>
      </c>
      <c r="O100">
        <f>IF(M100=0, -1, K100/M100)</f>
        <v/>
      </c>
      <c r="P100">
        <f>IF(M100=0, -1, L100/M100)</f>
        <v/>
      </c>
    </row>
    <row r="101">
      <c r="A101" t="inlineStr">
        <is>
          <t>RC00376</t>
        </is>
      </c>
      <c r="B101" t="inlineStr">
        <is>
          <t>浙江理工大学</t>
        </is>
      </c>
      <c r="C101" t="n">
        <v>5</v>
      </c>
      <c r="D101" t="n">
        <v>7</v>
      </c>
      <c r="E101" t="n">
        <v>38</v>
      </c>
      <c r="F101" t="n">
        <v>8</v>
      </c>
      <c r="G101" t="n">
        <v>165337.4996854188</v>
      </c>
      <c r="H101" t="n">
        <v>290.3897618254592</v>
      </c>
      <c r="I101">
        <f>IF(H101=0, 0, G101/H101)</f>
        <v/>
      </c>
      <c r="J101">
        <f>RANK(I101, I$2:I$1111, 0)</f>
        <v/>
      </c>
      <c r="K101">
        <f>SUM(C101)</f>
        <v/>
      </c>
      <c r="L101">
        <f>SUM(K101,D101)</f>
        <v/>
      </c>
      <c r="M101">
        <f>SUM(L101,E101,F101)</f>
        <v/>
      </c>
      <c r="N101">
        <f>IF(L101=0, -1, K101/L101)</f>
        <v/>
      </c>
      <c r="O101">
        <f>IF(M101=0, -1, K101/M101)</f>
        <v/>
      </c>
      <c r="P101">
        <f>IF(M101=0, -1, L101/M101)</f>
        <v/>
      </c>
    </row>
    <row r="102">
      <c r="A102" t="inlineStr">
        <is>
          <t>RC00426</t>
        </is>
      </c>
      <c r="B102" t="inlineStr">
        <is>
          <t>集美大学</t>
        </is>
      </c>
      <c r="C102" t="n">
        <v>1</v>
      </c>
      <c r="D102" t="n">
        <v>2</v>
      </c>
      <c r="E102" t="n">
        <v>46</v>
      </c>
      <c r="F102" t="n">
        <v>16</v>
      </c>
      <c r="G102" t="n">
        <v>152893.8644451481</v>
      </c>
      <c r="H102" t="n">
        <v>314.1705603299724</v>
      </c>
      <c r="I102">
        <f>IF(H102=0, 0, G102/H102)</f>
        <v/>
      </c>
      <c r="J102">
        <f>RANK(I102, I$2:I$1111, 0)</f>
        <v/>
      </c>
      <c r="K102">
        <f>SUM(C102)</f>
        <v/>
      </c>
      <c r="L102">
        <f>SUM(K102,D102)</f>
        <v/>
      </c>
      <c r="M102">
        <f>SUM(L102,E102,F102)</f>
        <v/>
      </c>
      <c r="N102">
        <f>IF(L102=0, -1, K102/L102)</f>
        <v/>
      </c>
      <c r="O102">
        <f>IF(M102=0, -1, K102/M102)</f>
        <v/>
      </c>
      <c r="P102">
        <f>IF(M102=0, -1, L102/M102)</f>
        <v/>
      </c>
    </row>
    <row r="103">
      <c r="A103" t="inlineStr">
        <is>
          <t>RC00465</t>
        </is>
      </c>
      <c r="B103" t="inlineStr">
        <is>
          <t>济南大学</t>
        </is>
      </c>
      <c r="C103" t="n">
        <v>0</v>
      </c>
      <c r="D103" t="n">
        <v>3</v>
      </c>
      <c r="E103" t="n">
        <v>43</v>
      </c>
      <c r="F103" t="n">
        <v>22</v>
      </c>
      <c r="G103" t="n">
        <v>153367.4639465034</v>
      </c>
      <c r="H103" t="n">
        <v>334.251979080854</v>
      </c>
      <c r="I103">
        <f>IF(H103=0, 0, G103/H103)</f>
        <v/>
      </c>
      <c r="J103">
        <f>RANK(I103, I$2:I$1111, 0)</f>
        <v/>
      </c>
      <c r="K103">
        <f>SUM(C103)</f>
        <v/>
      </c>
      <c r="L103">
        <f>SUM(K103,D103)</f>
        <v/>
      </c>
      <c r="M103">
        <f>SUM(L103,E103,F103)</f>
        <v/>
      </c>
      <c r="N103">
        <f>IF(L103=0, -1, K103/L103)</f>
        <v/>
      </c>
      <c r="O103">
        <f>IF(M103=0, -1, K103/M103)</f>
        <v/>
      </c>
      <c r="P103">
        <f>IF(M103=0, -1, L103/M103)</f>
        <v/>
      </c>
    </row>
    <row r="104">
      <c r="A104" t="inlineStr">
        <is>
          <t>RC00097</t>
        </is>
      </c>
      <c r="B104" t="inlineStr">
        <is>
          <t>西南交通大学</t>
        </is>
      </c>
      <c r="C104" t="n">
        <v>8</v>
      </c>
      <c r="D104" t="n">
        <v>36</v>
      </c>
      <c r="E104" t="n">
        <v>32</v>
      </c>
      <c r="F104" t="n">
        <v>6</v>
      </c>
      <c r="G104" t="n">
        <v>261128.1216978905</v>
      </c>
      <c r="H104" t="n">
        <v>384.2196955248484</v>
      </c>
      <c r="I104">
        <f>IF(H104=0, 0, G104/H104)</f>
        <v/>
      </c>
      <c r="J104">
        <f>RANK(I104, I$2:I$1111, 0)</f>
        <v/>
      </c>
      <c r="K104">
        <f>SUM(C104)</f>
        <v/>
      </c>
      <c r="L104">
        <f>SUM(K104,D104)</f>
        <v/>
      </c>
      <c r="M104">
        <f>SUM(L104,E104,F104)</f>
        <v/>
      </c>
      <c r="N104">
        <f>IF(L104=0, -1, K104/L104)</f>
        <v/>
      </c>
      <c r="O104">
        <f>IF(M104=0, -1, K104/M104)</f>
        <v/>
      </c>
      <c r="P104">
        <f>IF(M104=0, -1, L104/M104)</f>
        <v/>
      </c>
    </row>
    <row r="105">
      <c r="A105" t="inlineStr">
        <is>
          <t>RC00333</t>
        </is>
      </c>
      <c r="B105" t="inlineStr">
        <is>
          <t>上海师范大学</t>
        </is>
      </c>
      <c r="C105" t="n">
        <v>1</v>
      </c>
      <c r="D105" t="n">
        <v>15</v>
      </c>
      <c r="E105" t="n">
        <v>44</v>
      </c>
      <c r="F105" t="n">
        <v>13</v>
      </c>
      <c r="G105" t="n">
        <v>197155.6329459594</v>
      </c>
      <c r="H105" t="n">
        <v>347.6888658029384</v>
      </c>
      <c r="I105">
        <f>IF(H105=0, 0, G105/H105)</f>
        <v/>
      </c>
      <c r="J105">
        <f>RANK(I105, I$2:I$1111, 0)</f>
        <v/>
      </c>
      <c r="K105">
        <f>SUM(C105)</f>
        <v/>
      </c>
      <c r="L105">
        <f>SUM(K105,D105)</f>
        <v/>
      </c>
      <c r="M105">
        <f>SUM(L105,E105,F105)</f>
        <v/>
      </c>
      <c r="N105">
        <f>IF(L105=0, -1, K105/L105)</f>
        <v/>
      </c>
      <c r="O105">
        <f>IF(M105=0, -1, K105/M105)</f>
        <v/>
      </c>
      <c r="P105">
        <f>IF(M105=0, -1, L105/M105)</f>
        <v/>
      </c>
    </row>
    <row r="106">
      <c r="A106" t="inlineStr">
        <is>
          <t>RC00067</t>
        </is>
      </c>
      <c r="B106" t="inlineStr">
        <is>
          <t>中国石油大学（华东）</t>
        </is>
      </c>
      <c r="C106" t="n">
        <v>7</v>
      </c>
      <c r="D106" t="n">
        <v>15</v>
      </c>
      <c r="E106" t="n">
        <v>31</v>
      </c>
      <c r="F106" t="n">
        <v>5</v>
      </c>
      <c r="G106" t="n">
        <v>167954.8134601589</v>
      </c>
      <c r="H106" t="n">
        <v>266.1447724604141</v>
      </c>
      <c r="I106">
        <f>IF(H106=0, 0, G106/H106)</f>
        <v/>
      </c>
      <c r="J106">
        <f>RANK(I106, I$2:I$1111, 0)</f>
        <v/>
      </c>
      <c r="K106">
        <f>SUM(C106)</f>
        <v/>
      </c>
      <c r="L106">
        <f>SUM(K106,D106)</f>
        <v/>
      </c>
      <c r="M106">
        <f>SUM(L106,E106,F106)</f>
        <v/>
      </c>
      <c r="N106">
        <f>IF(L106=0, -1, K106/L106)</f>
        <v/>
      </c>
      <c r="O106">
        <f>IF(M106=0, -1, K106/M106)</f>
        <v/>
      </c>
      <c r="P106">
        <f>IF(M106=0, -1, L106/M106)</f>
        <v/>
      </c>
    </row>
    <row r="107">
      <c r="A107" t="inlineStr">
        <is>
          <t>RC00087</t>
        </is>
      </c>
      <c r="B107" t="inlineStr">
        <is>
          <t>河海大学</t>
        </is>
      </c>
      <c r="C107" t="n">
        <v>6</v>
      </c>
      <c r="D107" t="n">
        <v>30</v>
      </c>
      <c r="E107" t="n">
        <v>26</v>
      </c>
      <c r="F107" t="n">
        <v>6</v>
      </c>
      <c r="G107" t="n">
        <v>210444.879970491</v>
      </c>
      <c r="H107" t="n">
        <v>309.3645340143171</v>
      </c>
      <c r="I107">
        <f>IF(H107=0, 0, G107/H107)</f>
        <v/>
      </c>
      <c r="J107">
        <f>RANK(I107, I$2:I$1111, 0)</f>
        <v/>
      </c>
      <c r="K107">
        <f>SUM(C107)</f>
        <v/>
      </c>
      <c r="L107">
        <f>SUM(K107,D107)</f>
        <v/>
      </c>
      <c r="M107">
        <f>SUM(L107,E107,F107)</f>
        <v/>
      </c>
      <c r="N107">
        <f>IF(L107=0, -1, K107/L107)</f>
        <v/>
      </c>
      <c r="O107">
        <f>IF(M107=0, -1, K107/M107)</f>
        <v/>
      </c>
      <c r="P107">
        <f>IF(M107=0, -1, L107/M107)</f>
        <v/>
      </c>
    </row>
    <row r="108">
      <c r="A108" t="inlineStr">
        <is>
          <t>RC00295</t>
        </is>
      </c>
      <c r="B108" t="inlineStr">
        <is>
          <t>吉林财经大学</t>
        </is>
      </c>
      <c r="C108" t="n">
        <v>0</v>
      </c>
      <c r="D108" t="n">
        <v>1</v>
      </c>
      <c r="E108" t="n">
        <v>21</v>
      </c>
      <c r="F108" t="n">
        <v>17</v>
      </c>
      <c r="G108" t="n">
        <v>86890.12929523998</v>
      </c>
      <c r="H108" t="n">
        <v>192.2912790500473</v>
      </c>
      <c r="I108">
        <f>IF(H108=0, 0, G108/H108)</f>
        <v/>
      </c>
      <c r="J108">
        <f>RANK(I108, I$2:I$1111, 0)</f>
        <v/>
      </c>
      <c r="K108">
        <f>SUM(C108)</f>
        <v/>
      </c>
      <c r="L108">
        <f>SUM(K108,D108)</f>
        <v/>
      </c>
      <c r="M108">
        <f>SUM(L108,E108,F108)</f>
        <v/>
      </c>
      <c r="N108">
        <f>IF(L108=0, -1, K108/L108)</f>
        <v/>
      </c>
      <c r="O108">
        <f>IF(M108=0, -1, K108/M108)</f>
        <v/>
      </c>
      <c r="P108">
        <f>IF(M108=0, -1, L108/M108)</f>
        <v/>
      </c>
    </row>
    <row r="109">
      <c r="A109" t="inlineStr">
        <is>
          <t>RC00400</t>
        </is>
      </c>
      <c r="B109" t="inlineStr">
        <is>
          <t>安徽工业大学</t>
        </is>
      </c>
      <c r="C109" t="n">
        <v>0</v>
      </c>
      <c r="D109" t="n">
        <v>2</v>
      </c>
      <c r="E109" t="n">
        <v>33</v>
      </c>
      <c r="F109" t="n">
        <v>21</v>
      </c>
      <c r="G109" t="n">
        <v>123387.8587522991</v>
      </c>
      <c r="H109" t="n">
        <v>277.1725756194247</v>
      </c>
      <c r="I109">
        <f>IF(H109=0, 0, G109/H109)</f>
        <v/>
      </c>
      <c r="J109">
        <f>RANK(I109, I$2:I$1111, 0)</f>
        <v/>
      </c>
      <c r="K109">
        <f>SUM(C109)</f>
        <v/>
      </c>
      <c r="L109">
        <f>SUM(K109,D109)</f>
        <v/>
      </c>
      <c r="M109">
        <f>SUM(L109,E109,F109)</f>
        <v/>
      </c>
      <c r="N109">
        <f>IF(L109=0, -1, K109/L109)</f>
        <v/>
      </c>
      <c r="O109">
        <f>IF(M109=0, -1, K109/M109)</f>
        <v/>
      </c>
      <c r="P109">
        <f>IF(M109=0, -1, L109/M109)</f>
        <v/>
      </c>
    </row>
    <row r="110">
      <c r="A110" t="inlineStr">
        <is>
          <t>RC00478</t>
        </is>
      </c>
      <c r="B110" t="inlineStr">
        <is>
          <t>曲阜师范大学</t>
        </is>
      </c>
      <c r="C110" t="n">
        <v>0</v>
      </c>
      <c r="D110" t="n">
        <v>6</v>
      </c>
      <c r="E110" t="n">
        <v>43</v>
      </c>
      <c r="F110" t="n">
        <v>15</v>
      </c>
      <c r="G110" t="n">
        <v>154856.5326113077</v>
      </c>
      <c r="H110" t="n">
        <v>317.8690070028471</v>
      </c>
      <c r="I110">
        <f>IF(H110=0, 0, G110/H110)</f>
        <v/>
      </c>
      <c r="J110">
        <f>RANK(I110, I$2:I$1111, 0)</f>
        <v/>
      </c>
      <c r="K110">
        <f>SUM(C110)</f>
        <v/>
      </c>
      <c r="L110">
        <f>SUM(K110,D110)</f>
        <v/>
      </c>
      <c r="M110">
        <f>SUM(L110,E110,F110)</f>
        <v/>
      </c>
      <c r="N110">
        <f>IF(L110=0, -1, K110/L110)</f>
        <v/>
      </c>
      <c r="O110">
        <f>IF(M110=0, -1, K110/M110)</f>
        <v/>
      </c>
      <c r="P110">
        <f>IF(M110=0, -1, L110/M110)</f>
        <v/>
      </c>
    </row>
    <row r="111">
      <c r="A111" t="inlineStr">
        <is>
          <t>RC00124</t>
        </is>
      </c>
      <c r="B111" t="inlineStr">
        <is>
          <t>四川农业大学</t>
        </is>
      </c>
      <c r="C111" t="n">
        <v>0</v>
      </c>
      <c r="D111" t="n">
        <v>5</v>
      </c>
      <c r="E111" t="n">
        <v>48</v>
      </c>
      <c r="F111" t="n">
        <v>22</v>
      </c>
      <c r="G111" t="n">
        <v>168737.0884183194</v>
      </c>
      <c r="H111" t="n">
        <v>338.9895973965368</v>
      </c>
      <c r="I111">
        <f>IF(H111=0, 0, G111/H111)</f>
        <v/>
      </c>
      <c r="J111">
        <f>RANK(I111, I$2:I$1111, 0)</f>
        <v/>
      </c>
      <c r="K111">
        <f>SUM(C111)</f>
        <v/>
      </c>
      <c r="L111">
        <f>SUM(K111,D111)</f>
        <v/>
      </c>
      <c r="M111">
        <f>SUM(L111,E111,F111)</f>
        <v/>
      </c>
      <c r="N111">
        <f>IF(L111=0, -1, K111/L111)</f>
        <v/>
      </c>
      <c r="O111">
        <f>IF(M111=0, -1, K111/M111)</f>
        <v/>
      </c>
      <c r="P111">
        <f>IF(M111=0, -1, L111/M111)</f>
        <v/>
      </c>
    </row>
    <row r="112">
      <c r="A112" t="inlineStr">
        <is>
          <t>RC00750</t>
        </is>
      </c>
      <c r="B112" t="inlineStr">
        <is>
          <t>西安财经大学</t>
        </is>
      </c>
      <c r="C112" t="n">
        <v>0</v>
      </c>
      <c r="D112" t="n">
        <v>0</v>
      </c>
      <c r="E112" t="n">
        <v>30</v>
      </c>
      <c r="F112" t="n">
        <v>10</v>
      </c>
      <c r="G112" t="n">
        <v>95278.16126056878</v>
      </c>
      <c r="H112" t="n">
        <v>203.5048750723089</v>
      </c>
      <c r="I112">
        <f>IF(H112=0, 0, G112/H112)</f>
        <v/>
      </c>
      <c r="J112">
        <f>RANK(I112, I$2:I$1111, 0)</f>
        <v/>
      </c>
      <c r="K112">
        <f>SUM(C112)</f>
        <v/>
      </c>
      <c r="L112">
        <f>SUM(K112,D112)</f>
        <v/>
      </c>
      <c r="M112">
        <f>SUM(L112,E112,F112)</f>
        <v/>
      </c>
      <c r="N112">
        <f>IF(L112=0, -1, K112/L112)</f>
        <v/>
      </c>
      <c r="O112">
        <f>IF(M112=0, -1, K112/M112)</f>
        <v/>
      </c>
      <c r="P112">
        <f>IF(M112=0, -1, L112/M112)</f>
        <v/>
      </c>
    </row>
    <row r="113">
      <c r="A113" t="inlineStr">
        <is>
          <t>RC00927</t>
        </is>
      </c>
      <c r="B113" t="inlineStr">
        <is>
          <t>香港中文大学（深圳）</t>
        </is>
      </c>
      <c r="C113" t="n">
        <v>0</v>
      </c>
      <c r="D113" t="n">
        <v>0</v>
      </c>
      <c r="E113" t="n">
        <v>17</v>
      </c>
      <c r="F113" t="n">
        <v>9</v>
      </c>
      <c r="G113" t="n">
        <v>59300.10120475725</v>
      </c>
      <c r="H113" t="n">
        <v>125.0446039894609</v>
      </c>
      <c r="I113">
        <f>IF(H113=0, 0, G113/H113)</f>
        <v/>
      </c>
      <c r="J113">
        <f>RANK(I113, I$2:I$1111, 0)</f>
        <v/>
      </c>
      <c r="K113">
        <f>SUM(C113)</f>
        <v/>
      </c>
      <c r="L113">
        <f>SUM(K113,D113)</f>
        <v/>
      </c>
      <c r="M113">
        <f>SUM(L113,E113,F113)</f>
        <v/>
      </c>
      <c r="N113">
        <f>IF(L113=0, -1, K113/L113)</f>
        <v/>
      </c>
      <c r="O113">
        <f>IF(M113=0, -1, K113/M113)</f>
        <v/>
      </c>
      <c r="P113">
        <f>IF(M113=0, -1, L113/M113)</f>
        <v/>
      </c>
    </row>
    <row r="114">
      <c r="A114" t="inlineStr">
        <is>
          <t>RC00056</t>
        </is>
      </c>
      <c r="B114" t="inlineStr">
        <is>
          <t>华北电力大学</t>
        </is>
      </c>
      <c r="C114" t="n">
        <v>4</v>
      </c>
      <c r="D114" t="n">
        <v>16</v>
      </c>
      <c r="E114" t="n">
        <v>34</v>
      </c>
      <c r="F114" t="n">
        <v>4</v>
      </c>
      <c r="G114" t="n">
        <v>172532.7295932701</v>
      </c>
      <c r="H114" t="n">
        <v>279.8780426496008</v>
      </c>
      <c r="I114">
        <f>IF(H114=0, 0, G114/H114)</f>
        <v/>
      </c>
      <c r="J114">
        <f>RANK(I114, I$2:I$1111, 0)</f>
        <v/>
      </c>
      <c r="K114">
        <f>SUM(C114)</f>
        <v/>
      </c>
      <c r="L114">
        <f>SUM(K114,D114)</f>
        <v/>
      </c>
      <c r="M114">
        <f>SUM(L114,E114,F114)</f>
        <v/>
      </c>
      <c r="N114">
        <f>IF(L114=0, -1, K114/L114)</f>
        <v/>
      </c>
      <c r="O114">
        <f>IF(M114=0, -1, K114/M114)</f>
        <v/>
      </c>
      <c r="P114">
        <f>IF(M114=0, -1, L114/M114)</f>
        <v/>
      </c>
    </row>
    <row r="115">
      <c r="A115" t="inlineStr">
        <is>
          <t>RC00076</t>
        </is>
      </c>
      <c r="B115" t="inlineStr">
        <is>
          <t>扬州大学</t>
        </is>
      </c>
      <c r="C115" t="n">
        <v>3</v>
      </c>
      <c r="D115" t="n">
        <v>13</v>
      </c>
      <c r="E115" t="n">
        <v>67</v>
      </c>
      <c r="F115" t="n">
        <v>21</v>
      </c>
      <c r="G115" t="n">
        <v>265884.2079954884</v>
      </c>
      <c r="H115" t="n">
        <v>480.7857789134977</v>
      </c>
      <c r="I115">
        <f>IF(H115=0, 0, G115/H115)</f>
        <v/>
      </c>
      <c r="J115">
        <f>RANK(I115, I$2:I$1111, 0)</f>
        <v/>
      </c>
      <c r="K115">
        <f>SUM(C115)</f>
        <v/>
      </c>
      <c r="L115">
        <f>SUM(K115,D115)</f>
        <v/>
      </c>
      <c r="M115">
        <f>SUM(L115,E115,F115)</f>
        <v/>
      </c>
      <c r="N115">
        <f>IF(L115=0, -1, K115/L115)</f>
        <v/>
      </c>
      <c r="O115">
        <f>IF(M115=0, -1, K115/M115)</f>
        <v/>
      </c>
      <c r="P115">
        <f>IF(M115=0, -1, L115/M115)</f>
        <v/>
      </c>
    </row>
    <row r="116">
      <c r="A116" t="inlineStr">
        <is>
          <t>RC00090</t>
        </is>
      </c>
      <c r="B116" t="inlineStr">
        <is>
          <t>杭州师范大学</t>
        </is>
      </c>
      <c r="C116" t="n">
        <v>2</v>
      </c>
      <c r="D116" t="n">
        <v>19</v>
      </c>
      <c r="E116" t="n">
        <v>35</v>
      </c>
      <c r="F116" t="n">
        <v>5</v>
      </c>
      <c r="G116" t="n">
        <v>184899.0448599891</v>
      </c>
      <c r="H116" t="n">
        <v>305.1674037300566</v>
      </c>
      <c r="I116">
        <f>IF(H116=0, 0, G116/H116)</f>
        <v/>
      </c>
      <c r="J116">
        <f>RANK(I116, I$2:I$1111, 0)</f>
        <v/>
      </c>
      <c r="K116">
        <f>SUM(C116)</f>
        <v/>
      </c>
      <c r="L116">
        <f>SUM(K116,D116)</f>
        <v/>
      </c>
      <c r="M116">
        <f>SUM(L116,E116,F116)</f>
        <v/>
      </c>
      <c r="N116">
        <f>IF(L116=0, -1, K116/L116)</f>
        <v/>
      </c>
      <c r="O116">
        <f>IF(M116=0, -1, K116/M116)</f>
        <v/>
      </c>
      <c r="P116">
        <f>IF(M116=0, -1, L116/M116)</f>
        <v/>
      </c>
    </row>
    <row r="117">
      <c r="A117" t="inlineStr">
        <is>
          <t>RC00785</t>
        </is>
      </c>
      <c r="B117" t="inlineStr">
        <is>
          <t>新疆财经大学</t>
        </is>
      </c>
      <c r="C117" t="n">
        <v>0</v>
      </c>
      <c r="D117" t="n">
        <v>0</v>
      </c>
      <c r="E117" t="n">
        <v>20</v>
      </c>
      <c r="F117" t="n">
        <v>9</v>
      </c>
      <c r="G117" t="n">
        <v>68650.67013713554</v>
      </c>
      <c r="H117" t="n">
        <v>148.0452003771504</v>
      </c>
      <c r="I117">
        <f>IF(H117=0, 0, G117/H117)</f>
        <v/>
      </c>
      <c r="J117">
        <f>RANK(I117, I$2:I$1111, 0)</f>
        <v/>
      </c>
      <c r="K117">
        <f>SUM(C117)</f>
        <v/>
      </c>
      <c r="L117">
        <f>SUM(K117,D117)</f>
        <v/>
      </c>
      <c r="M117">
        <f>SUM(L117,E117,F117)</f>
        <v/>
      </c>
      <c r="N117">
        <f>IF(L117=0, -1, K117/L117)</f>
        <v/>
      </c>
      <c r="O117">
        <f>IF(M117=0, -1, K117/M117)</f>
        <v/>
      </c>
      <c r="P117">
        <f>IF(M117=0, -1, L117/M117)</f>
        <v/>
      </c>
    </row>
    <row r="118">
      <c r="A118" t="inlineStr">
        <is>
          <t>RC00477</t>
        </is>
      </c>
      <c r="B118" t="inlineStr">
        <is>
          <t>山东师范大学</t>
        </is>
      </c>
      <c r="C118" t="n">
        <v>0</v>
      </c>
      <c r="D118" t="n">
        <v>18</v>
      </c>
      <c r="E118" t="n">
        <v>37</v>
      </c>
      <c r="F118" t="n">
        <v>11</v>
      </c>
      <c r="G118" t="n">
        <v>190737.7173031764</v>
      </c>
      <c r="H118" t="n">
        <v>326.2149438993659</v>
      </c>
      <c r="I118">
        <f>IF(H118=0, 0, G118/H118)</f>
        <v/>
      </c>
      <c r="J118">
        <f>RANK(I118, I$2:I$1111, 0)</f>
        <v/>
      </c>
      <c r="K118">
        <f>SUM(C118)</f>
        <v/>
      </c>
      <c r="L118">
        <f>SUM(K118,D118)</f>
        <v/>
      </c>
      <c r="M118">
        <f>SUM(L118,E118,F118)</f>
        <v/>
      </c>
      <c r="N118">
        <f>IF(L118=0, -1, K118/L118)</f>
        <v/>
      </c>
      <c r="O118">
        <f>IF(M118=0, -1, K118/M118)</f>
        <v/>
      </c>
      <c r="P118">
        <f>IF(M118=0, -1, L118/M118)</f>
        <v/>
      </c>
    </row>
    <row r="119">
      <c r="A119" t="inlineStr">
        <is>
          <t>RC00777</t>
        </is>
      </c>
      <c r="B119" t="inlineStr">
        <is>
          <t>新疆大学</t>
        </is>
      </c>
      <c r="C119" t="n">
        <v>0</v>
      </c>
      <c r="D119" t="n">
        <v>6</v>
      </c>
      <c r="E119" t="n">
        <v>44</v>
      </c>
      <c r="F119" t="n">
        <v>27</v>
      </c>
      <c r="G119" t="n">
        <v>183865.7521597033</v>
      </c>
      <c r="H119" t="n">
        <v>368.8843071980015</v>
      </c>
      <c r="I119">
        <f>IF(H119=0, 0, G119/H119)</f>
        <v/>
      </c>
      <c r="J119">
        <f>RANK(I119, I$2:I$1111, 0)</f>
        <v/>
      </c>
      <c r="K119">
        <f>SUM(C119)</f>
        <v/>
      </c>
      <c r="L119">
        <f>SUM(K119,D119)</f>
        <v/>
      </c>
      <c r="M119">
        <f>SUM(L119,E119,F119)</f>
        <v/>
      </c>
      <c r="N119">
        <f>IF(L119=0, -1, K119/L119)</f>
        <v/>
      </c>
      <c r="O119">
        <f>IF(M119=0, -1, K119/M119)</f>
        <v/>
      </c>
      <c r="P119">
        <f>IF(M119=0, -1, L119/M119)</f>
        <v/>
      </c>
    </row>
    <row r="120">
      <c r="A120" t="inlineStr">
        <is>
          <t>RC00710</t>
        </is>
      </c>
      <c r="B120" t="inlineStr">
        <is>
          <t>云南师范大学</t>
        </is>
      </c>
      <c r="C120" t="n">
        <v>0</v>
      </c>
      <c r="D120" t="n">
        <v>7</v>
      </c>
      <c r="E120" t="n">
        <v>38</v>
      </c>
      <c r="F120" t="n">
        <v>19</v>
      </c>
      <c r="G120" t="n">
        <v>147560.3091819476</v>
      </c>
      <c r="H120" t="n">
        <v>302.8030447545203</v>
      </c>
      <c r="I120">
        <f>IF(H120=0, 0, G120/H120)</f>
        <v/>
      </c>
      <c r="J120">
        <f>RANK(I120, I$2:I$1111, 0)</f>
        <v/>
      </c>
      <c r="K120">
        <f>SUM(C120)</f>
        <v/>
      </c>
      <c r="L120">
        <f>SUM(K120,D120)</f>
        <v/>
      </c>
      <c r="M120">
        <f>SUM(L120,E120,F120)</f>
        <v/>
      </c>
      <c r="N120">
        <f>IF(L120=0, -1, K120/L120)</f>
        <v/>
      </c>
      <c r="O120">
        <f>IF(M120=0, -1, K120/M120)</f>
        <v/>
      </c>
      <c r="P120">
        <f>IF(M120=0, -1, L120/M120)</f>
        <v/>
      </c>
    </row>
    <row r="121">
      <c r="A121" t="inlineStr">
        <is>
          <t>RC00616</t>
        </is>
      </c>
      <c r="B121" t="inlineStr">
        <is>
          <t>广东工业大学</t>
        </is>
      </c>
      <c r="C121" t="n">
        <v>4</v>
      </c>
      <c r="D121" t="n">
        <v>24</v>
      </c>
      <c r="E121" t="n">
        <v>47</v>
      </c>
      <c r="F121" t="n">
        <v>10</v>
      </c>
      <c r="G121" t="n">
        <v>254528.5388710247</v>
      </c>
      <c r="H121" t="n">
        <v>421.7545321684102</v>
      </c>
      <c r="I121">
        <f>IF(H121=0, 0, G121/H121)</f>
        <v/>
      </c>
      <c r="J121">
        <f>RANK(I121, I$2:I$1111, 0)</f>
        <v/>
      </c>
      <c r="K121">
        <f>SUM(C121)</f>
        <v/>
      </c>
      <c r="L121">
        <f>SUM(K121,D121)</f>
        <v/>
      </c>
      <c r="M121">
        <f>SUM(L121,E121,F121)</f>
        <v/>
      </c>
      <c r="N121">
        <f>IF(L121=0, -1, K121/L121)</f>
        <v/>
      </c>
      <c r="O121">
        <f>IF(M121=0, -1, K121/M121)</f>
        <v/>
      </c>
      <c r="P121">
        <f>IF(M121=0, -1, L121/M121)</f>
        <v/>
      </c>
    </row>
    <row r="122">
      <c r="A122" t="inlineStr">
        <is>
          <t>RC00353</t>
        </is>
      </c>
      <c r="B122" t="inlineStr">
        <is>
          <t>江苏师范大学</t>
        </is>
      </c>
      <c r="C122" t="n">
        <v>0</v>
      </c>
      <c r="D122" t="n">
        <v>7</v>
      </c>
      <c r="E122" t="n">
        <v>35</v>
      </c>
      <c r="F122" t="n">
        <v>23</v>
      </c>
      <c r="G122" t="n">
        <v>149384.5706947255</v>
      </c>
      <c r="H122" t="n">
        <v>319.7387479117239</v>
      </c>
      <c r="I122">
        <f>IF(H122=0, 0, G122/H122)</f>
        <v/>
      </c>
      <c r="J122">
        <f>RANK(I122, I$2:I$1111, 0)</f>
        <v/>
      </c>
      <c r="K122">
        <f>SUM(C122)</f>
        <v/>
      </c>
      <c r="L122">
        <f>SUM(K122,D122)</f>
        <v/>
      </c>
      <c r="M122">
        <f>SUM(L122,E122,F122)</f>
        <v/>
      </c>
      <c r="N122">
        <f>IF(L122=0, -1, K122/L122)</f>
        <v/>
      </c>
      <c r="O122">
        <f>IF(M122=0, -1, K122/M122)</f>
        <v/>
      </c>
      <c r="P122">
        <f>IF(M122=0, -1, L122/M122)</f>
        <v/>
      </c>
    </row>
    <row r="123">
      <c r="A123" t="inlineStr">
        <is>
          <t>RC00089</t>
        </is>
      </c>
      <c r="B123" t="inlineStr">
        <is>
          <t>杭州电子科技大学</t>
        </is>
      </c>
      <c r="C123" t="n">
        <v>2</v>
      </c>
      <c r="D123" t="n">
        <v>14</v>
      </c>
      <c r="E123" t="n">
        <v>23</v>
      </c>
      <c r="F123" t="n">
        <v>6</v>
      </c>
      <c r="G123" t="n">
        <v>142404.1333352125</v>
      </c>
      <c r="H123" t="n">
        <v>228.3640548081578</v>
      </c>
      <c r="I123">
        <f>IF(H123=0, 0, G123/H123)</f>
        <v/>
      </c>
      <c r="J123">
        <f>RANK(I123, I$2:I$1111, 0)</f>
        <v/>
      </c>
      <c r="K123">
        <f>SUM(C123)</f>
        <v/>
      </c>
      <c r="L123">
        <f>SUM(K123,D123)</f>
        <v/>
      </c>
      <c r="M123">
        <f>SUM(L123,E123,F123)</f>
        <v/>
      </c>
      <c r="N123">
        <f>IF(L123=0, -1, K123/L123)</f>
        <v/>
      </c>
      <c r="O123">
        <f>IF(M123=0, -1, K123/M123)</f>
        <v/>
      </c>
      <c r="P123">
        <f>IF(M123=0, -1, L123/M123)</f>
        <v/>
      </c>
    </row>
    <row r="124">
      <c r="A124" t="inlineStr">
        <is>
          <t>RC00522</t>
        </is>
      </c>
      <c r="B124" t="inlineStr">
        <is>
          <t>河南财经政法大学</t>
        </is>
      </c>
      <c r="C124" t="n">
        <v>0</v>
      </c>
      <c r="D124" t="n">
        <v>4</v>
      </c>
      <c r="E124" t="n">
        <v>30</v>
      </c>
      <c r="F124" t="n">
        <v>19</v>
      </c>
      <c r="G124" t="n">
        <v>122182.4137401798</v>
      </c>
      <c r="H124" t="n">
        <v>258.0896668271493</v>
      </c>
      <c r="I124">
        <f>IF(H124=0, 0, G124/H124)</f>
        <v/>
      </c>
      <c r="J124">
        <f>RANK(I124, I$2:I$1111, 0)</f>
        <v/>
      </c>
      <c r="K124">
        <f>SUM(C124)</f>
        <v/>
      </c>
      <c r="L124">
        <f>SUM(K124,D124)</f>
        <v/>
      </c>
      <c r="M124">
        <f>SUM(L124,E124,F124)</f>
        <v/>
      </c>
      <c r="N124">
        <f>IF(L124=0, -1, K124/L124)</f>
        <v/>
      </c>
      <c r="O124">
        <f>IF(M124=0, -1, K124/M124)</f>
        <v/>
      </c>
      <c r="P124">
        <f>IF(M124=0, -1, L124/M124)</f>
        <v/>
      </c>
    </row>
    <row r="125">
      <c r="A125" t="inlineStr">
        <is>
          <t>RC00328</t>
        </is>
      </c>
      <c r="B125" t="inlineStr">
        <is>
          <t>上海海事大学</t>
        </is>
      </c>
      <c r="C125" t="n">
        <v>2</v>
      </c>
      <c r="D125" t="n">
        <v>3</v>
      </c>
      <c r="E125" t="n">
        <v>26</v>
      </c>
      <c r="F125" t="n">
        <v>13</v>
      </c>
      <c r="G125" t="n">
        <v>104431.9852743778</v>
      </c>
      <c r="H125" t="n">
        <v>212.3414183533491</v>
      </c>
      <c r="I125">
        <f>IF(H125=0, 0, G125/H125)</f>
        <v/>
      </c>
      <c r="J125">
        <f>RANK(I125, I$2:I$1111, 0)</f>
        <v/>
      </c>
      <c r="K125">
        <f>SUM(C125)</f>
        <v/>
      </c>
      <c r="L125">
        <f>SUM(K125,D125)</f>
        <v/>
      </c>
      <c r="M125">
        <f>SUM(L125,E125,F125)</f>
        <v/>
      </c>
      <c r="N125">
        <f>IF(L125=0, -1, K125/L125)</f>
        <v/>
      </c>
      <c r="O125">
        <f>IF(M125=0, -1, K125/M125)</f>
        <v/>
      </c>
      <c r="P125">
        <f>IF(M125=0, -1, L125/M125)</f>
        <v/>
      </c>
    </row>
    <row r="126">
      <c r="A126" t="inlineStr">
        <is>
          <t>RC00231</t>
        </is>
      </c>
      <c r="B126" t="inlineStr">
        <is>
          <t>内蒙古大学</t>
        </is>
      </c>
      <c r="C126" t="n">
        <v>2</v>
      </c>
      <c r="D126" t="n">
        <v>2</v>
      </c>
      <c r="E126" t="n">
        <v>41</v>
      </c>
      <c r="F126" t="n">
        <v>16</v>
      </c>
      <c r="G126" t="n">
        <v>146101.8613287274</v>
      </c>
      <c r="H126" t="n">
        <v>297.1287987125604</v>
      </c>
      <c r="I126">
        <f>IF(H126=0, 0, G126/H126)</f>
        <v/>
      </c>
      <c r="J126">
        <f>RANK(I126, I$2:I$1111, 0)</f>
        <v/>
      </c>
      <c r="K126">
        <f>SUM(C126)</f>
        <v/>
      </c>
      <c r="L126">
        <f>SUM(K126,D126)</f>
        <v/>
      </c>
      <c r="M126">
        <f>SUM(L126,E126,F126)</f>
        <v/>
      </c>
      <c r="N126">
        <f>IF(L126=0, -1, K126/L126)</f>
        <v/>
      </c>
      <c r="O126">
        <f>IF(M126=0, -1, K126/M126)</f>
        <v/>
      </c>
      <c r="P126">
        <f>IF(M126=0, -1, L126/M126)</f>
        <v/>
      </c>
    </row>
    <row r="127">
      <c r="A127" t="inlineStr">
        <is>
          <t>RC00774</t>
        </is>
      </c>
      <c r="B127" t="inlineStr">
        <is>
          <t>宁夏大学</t>
        </is>
      </c>
      <c r="C127" t="n">
        <v>0</v>
      </c>
      <c r="D127" t="n">
        <v>6</v>
      </c>
      <c r="E127" t="n">
        <v>48</v>
      </c>
      <c r="F127" t="n">
        <v>19</v>
      </c>
      <c r="G127" t="n">
        <v>173722.6422878214</v>
      </c>
      <c r="H127" t="n">
        <v>352.6222283948929</v>
      </c>
      <c r="I127">
        <f>IF(H127=0, 0, G127/H127)</f>
        <v/>
      </c>
      <c r="J127">
        <f>RANK(I127, I$2:I$1111, 0)</f>
        <v/>
      </c>
      <c r="K127">
        <f>SUM(C127)</f>
        <v/>
      </c>
      <c r="L127">
        <f>SUM(K127,D127)</f>
        <v/>
      </c>
      <c r="M127">
        <f>SUM(L127,E127,F127)</f>
        <v/>
      </c>
      <c r="N127">
        <f>IF(L127=0, -1, K127/L127)</f>
        <v/>
      </c>
      <c r="O127">
        <f>IF(M127=0, -1, K127/M127)</f>
        <v/>
      </c>
      <c r="P127">
        <f>IF(M127=0, -1, L127/M127)</f>
        <v/>
      </c>
    </row>
    <row r="128">
      <c r="A128" t="inlineStr">
        <is>
          <t>RC00699</t>
        </is>
      </c>
      <c r="B128" t="inlineStr">
        <is>
          <t>贵州财经大学</t>
        </is>
      </c>
      <c r="C128" t="n">
        <v>0</v>
      </c>
      <c r="D128" t="n">
        <v>4</v>
      </c>
      <c r="E128" t="n">
        <v>24</v>
      </c>
      <c r="F128" t="n">
        <v>19</v>
      </c>
      <c r="G128" t="n">
        <v>111138.4482358275</v>
      </c>
      <c r="H128" t="n">
        <v>231.185315587641</v>
      </c>
      <c r="I128">
        <f>IF(H128=0, 0, G128/H128)</f>
        <v/>
      </c>
      <c r="J128">
        <f>RANK(I128, I$2:I$1111, 0)</f>
        <v/>
      </c>
      <c r="K128">
        <f>SUM(C128)</f>
        <v/>
      </c>
      <c r="L128">
        <f>SUM(K128,D128)</f>
        <v/>
      </c>
      <c r="M128">
        <f>SUM(L128,E128,F128)</f>
        <v/>
      </c>
      <c r="N128">
        <f>IF(L128=0, -1, K128/L128)</f>
        <v/>
      </c>
      <c r="O128">
        <f>IF(M128=0, -1, K128/M128)</f>
        <v/>
      </c>
      <c r="P128">
        <f>IF(M128=0, -1, L128/M128)</f>
        <v/>
      </c>
    </row>
    <row r="129">
      <c r="A129" t="inlineStr">
        <is>
          <t>RC00742</t>
        </is>
      </c>
      <c r="B129" t="inlineStr">
        <is>
          <t>西北政法大学</t>
        </is>
      </c>
      <c r="C129" t="n">
        <v>1</v>
      </c>
      <c r="D129" t="n">
        <v>2</v>
      </c>
      <c r="E129" t="n">
        <v>14</v>
      </c>
      <c r="F129" t="n">
        <v>6</v>
      </c>
      <c r="G129" t="n">
        <v>58102.97042381407</v>
      </c>
      <c r="H129" t="n">
        <v>109.1328553752771</v>
      </c>
      <c r="I129">
        <f>IF(H129=0, 0, G129/H129)</f>
        <v/>
      </c>
      <c r="J129">
        <f>RANK(I129, I$2:I$1111, 0)</f>
        <v/>
      </c>
      <c r="K129">
        <f>SUM(C129)</f>
        <v/>
      </c>
      <c r="L129">
        <f>SUM(K129,D129)</f>
        <v/>
      </c>
      <c r="M129">
        <f>SUM(L129,E129,F129)</f>
        <v/>
      </c>
      <c r="N129">
        <f>IF(L129=0, -1, K129/L129)</f>
        <v/>
      </c>
      <c r="O129">
        <f>IF(M129=0, -1, K129/M129)</f>
        <v/>
      </c>
      <c r="P129">
        <f>IF(M129=0, -1, L129/M129)</f>
        <v/>
      </c>
    </row>
    <row r="130">
      <c r="A130" t="inlineStr">
        <is>
          <t>RC00770</t>
        </is>
      </c>
      <c r="B130" t="inlineStr">
        <is>
          <t>青海大学</t>
        </is>
      </c>
      <c r="C130" t="n">
        <v>1</v>
      </c>
      <c r="D130" t="n">
        <v>0</v>
      </c>
      <c r="E130" t="n">
        <v>24</v>
      </c>
      <c r="F130" t="n">
        <v>28</v>
      </c>
      <c r="G130" t="n">
        <v>111211.080886306</v>
      </c>
      <c r="H130" t="n">
        <v>242.0445087613455</v>
      </c>
      <c r="I130">
        <f>IF(H130=0, 0, G130/H130)</f>
        <v/>
      </c>
      <c r="J130">
        <f>RANK(I130, I$2:I$1111, 0)</f>
        <v/>
      </c>
      <c r="K130">
        <f>SUM(C130)</f>
        <v/>
      </c>
      <c r="L130">
        <f>SUM(K130,D130)</f>
        <v/>
      </c>
      <c r="M130">
        <f>SUM(L130,E130,F130)</f>
        <v/>
      </c>
      <c r="N130">
        <f>IF(L130=0, -1, K130/L130)</f>
        <v/>
      </c>
      <c r="O130">
        <f>IF(M130=0, -1, K130/M130)</f>
        <v/>
      </c>
      <c r="P130">
        <f>IF(M130=0, -1, L130/M130)</f>
        <v/>
      </c>
    </row>
    <row r="131">
      <c r="A131" t="inlineStr">
        <is>
          <t>RC00551</t>
        </is>
      </c>
      <c r="B131" t="inlineStr">
        <is>
          <t>中南民族大学</t>
        </is>
      </c>
      <c r="C131" t="n">
        <v>0</v>
      </c>
      <c r="D131" t="n">
        <v>6</v>
      </c>
      <c r="E131" t="n">
        <v>43</v>
      </c>
      <c r="F131" t="n">
        <v>21</v>
      </c>
      <c r="G131" t="n">
        <v>166076.6840289694</v>
      </c>
      <c r="H131" t="n">
        <v>346.7158383393621</v>
      </c>
      <c r="I131">
        <f>IF(H131=0, 0, G131/H131)</f>
        <v/>
      </c>
      <c r="J131">
        <f>RANK(I131, I$2:I$1111, 0)</f>
        <v/>
      </c>
      <c r="K131">
        <f>SUM(C131)</f>
        <v/>
      </c>
      <c r="L131">
        <f>SUM(K131,D131)</f>
        <v/>
      </c>
      <c r="M131">
        <f>SUM(L131,E131,F131)</f>
        <v/>
      </c>
      <c r="N131">
        <f>IF(L131=0, -1, K131/L131)</f>
        <v/>
      </c>
      <c r="O131">
        <f>IF(M131=0, -1, K131/M131)</f>
        <v/>
      </c>
      <c r="P131">
        <f>IF(M131=0, -1, L131/M131)</f>
        <v/>
      </c>
    </row>
    <row r="132">
      <c r="A132" t="inlineStr">
        <is>
          <t>RC00670</t>
        </is>
      </c>
      <c r="B132" t="inlineStr">
        <is>
          <t>四川师范大学</t>
        </is>
      </c>
      <c r="C132" t="n">
        <v>0</v>
      </c>
      <c r="D132" t="n">
        <v>16</v>
      </c>
      <c r="E132" t="n">
        <v>48</v>
      </c>
      <c r="F132" t="n">
        <v>13</v>
      </c>
      <c r="G132" t="n">
        <v>198622.2642588218</v>
      </c>
      <c r="H132" t="n">
        <v>379.7287701742661</v>
      </c>
      <c r="I132">
        <f>IF(H132=0, 0, G132/H132)</f>
        <v/>
      </c>
      <c r="J132">
        <f>RANK(I132, I$2:I$1111, 0)</f>
        <v/>
      </c>
      <c r="K132">
        <f>SUM(C132)</f>
        <v/>
      </c>
      <c r="L132">
        <f>SUM(K132,D132)</f>
        <v/>
      </c>
      <c r="M132">
        <f>SUM(L132,E132,F132)</f>
        <v/>
      </c>
      <c r="N132">
        <f>IF(L132=0, -1, K132/L132)</f>
        <v/>
      </c>
      <c r="O132">
        <f>IF(M132=0, -1, K132/M132)</f>
        <v/>
      </c>
      <c r="P132">
        <f>IF(M132=0, -1, L132/M132)</f>
        <v/>
      </c>
    </row>
    <row r="133">
      <c r="A133" t="inlineStr">
        <is>
          <t>RC00208</t>
        </is>
      </c>
      <c r="B133" t="inlineStr">
        <is>
          <t>河北经贸大学</t>
        </is>
      </c>
      <c r="C133" t="n">
        <v>0</v>
      </c>
      <c r="D133" t="n">
        <v>2</v>
      </c>
      <c r="E133" t="n">
        <v>27</v>
      </c>
      <c r="F133" t="n">
        <v>18</v>
      </c>
      <c r="G133" t="n">
        <v>112152.8254879961</v>
      </c>
      <c r="H133" t="n">
        <v>239.515443061243</v>
      </c>
      <c r="I133">
        <f>IF(H133=0, 0, G133/H133)</f>
        <v/>
      </c>
      <c r="J133">
        <f>RANK(I133, I$2:I$1111, 0)</f>
        <v/>
      </c>
      <c r="K133">
        <f>SUM(C133)</f>
        <v/>
      </c>
      <c r="L133">
        <f>SUM(K133,D133)</f>
        <v/>
      </c>
      <c r="M133">
        <f>SUM(L133,E133,F133)</f>
        <v/>
      </c>
      <c r="N133">
        <f>IF(L133=0, -1, K133/L133)</f>
        <v/>
      </c>
      <c r="O133">
        <f>IF(M133=0, -1, K133/M133)</f>
        <v/>
      </c>
      <c r="P133">
        <f>IF(M133=0, -1, L133/M133)</f>
        <v/>
      </c>
    </row>
    <row r="134">
      <c r="A134" t="inlineStr">
        <is>
          <t>RC00338</t>
        </is>
      </c>
      <c r="B134" t="inlineStr">
        <is>
          <t>华东政法大学</t>
        </is>
      </c>
      <c r="C134" t="n">
        <v>3</v>
      </c>
      <c r="D134" t="n">
        <v>2</v>
      </c>
      <c r="E134" t="n">
        <v>12</v>
      </c>
      <c r="F134" t="n">
        <v>5</v>
      </c>
      <c r="G134" t="n">
        <v>63287.37811250272</v>
      </c>
      <c r="H134" t="n">
        <v>108.8505049923692</v>
      </c>
      <c r="I134">
        <f>IF(H134=0, 0, G134/H134)</f>
        <v/>
      </c>
      <c r="J134">
        <f>RANK(I134, I$2:I$1111, 0)</f>
        <v/>
      </c>
      <c r="K134">
        <f>SUM(C134)</f>
        <v/>
      </c>
      <c r="L134">
        <f>SUM(K134,D134)</f>
        <v/>
      </c>
      <c r="M134">
        <f>SUM(L134,E134,F134)</f>
        <v/>
      </c>
      <c r="N134">
        <f>IF(L134=0, -1, K134/L134)</f>
        <v/>
      </c>
      <c r="O134">
        <f>IF(M134=0, -1, K134/M134)</f>
        <v/>
      </c>
      <c r="P134">
        <f>IF(M134=0, -1, L134/M134)</f>
        <v/>
      </c>
    </row>
    <row r="135">
      <c r="A135" t="inlineStr">
        <is>
          <t>RC00138</t>
        </is>
      </c>
      <c r="B135" t="inlineStr">
        <is>
          <t>中国传媒大学</t>
        </is>
      </c>
      <c r="C135" t="n">
        <v>25</v>
      </c>
      <c r="D135" t="n">
        <v>16</v>
      </c>
      <c r="E135" t="n">
        <v>19</v>
      </c>
      <c r="F135" t="n">
        <v>11</v>
      </c>
      <c r="G135" t="n">
        <v>212334.9772751546</v>
      </c>
      <c r="H135" t="n">
        <v>289.9599063695744</v>
      </c>
      <c r="I135">
        <f>IF(H135=0, 0, G135/H135)</f>
        <v/>
      </c>
      <c r="J135">
        <f>RANK(I135, I$2:I$1111, 0)</f>
        <v/>
      </c>
      <c r="K135">
        <f>SUM(C135)</f>
        <v/>
      </c>
      <c r="L135">
        <f>SUM(K135,D135)</f>
        <v/>
      </c>
      <c r="M135">
        <f>SUM(L135,E135,F135)</f>
        <v/>
      </c>
      <c r="N135">
        <f>IF(L135=0, -1, K135/L135)</f>
        <v/>
      </c>
      <c r="O135">
        <f>IF(M135=0, -1, K135/M135)</f>
        <v/>
      </c>
      <c r="P135">
        <f>IF(M135=0, -1, L135/M135)</f>
        <v/>
      </c>
    </row>
    <row r="136">
      <c r="A136" t="inlineStr">
        <is>
          <t>RC00239</t>
        </is>
      </c>
      <c r="B136" t="inlineStr">
        <is>
          <t>内蒙古财经大学</t>
        </is>
      </c>
      <c r="C136" t="n">
        <v>1</v>
      </c>
      <c r="D136" t="n">
        <v>0</v>
      </c>
      <c r="E136" t="n">
        <v>22</v>
      </c>
      <c r="F136" t="n">
        <v>16</v>
      </c>
      <c r="G136" t="n">
        <v>82179.73898994261</v>
      </c>
      <c r="H136" t="n">
        <v>178.069204205227</v>
      </c>
      <c r="I136">
        <f>IF(H136=0, 0, G136/H136)</f>
        <v/>
      </c>
      <c r="J136">
        <f>RANK(I136, I$2:I$1111, 0)</f>
        <v/>
      </c>
      <c r="K136">
        <f>SUM(C136)</f>
        <v/>
      </c>
      <c r="L136">
        <f>SUM(K136,D136)</f>
        <v/>
      </c>
      <c r="M136">
        <f>SUM(L136,E136,F136)</f>
        <v/>
      </c>
      <c r="N136">
        <f>IF(L136=0, -1, K136/L136)</f>
        <v/>
      </c>
      <c r="O136">
        <f>IF(M136=0, -1, K136/M136)</f>
        <v/>
      </c>
      <c r="P136">
        <f>IF(M136=0, -1, L136/M136)</f>
        <v/>
      </c>
    </row>
    <row r="137">
      <c r="A137" t="inlineStr">
        <is>
          <t>RC00644</t>
        </is>
      </c>
      <c r="B137" t="inlineStr">
        <is>
          <t>重庆邮电大学</t>
        </is>
      </c>
      <c r="C137" t="n">
        <v>0</v>
      </c>
      <c r="D137" t="n">
        <v>9</v>
      </c>
      <c r="E137" t="n">
        <v>28</v>
      </c>
      <c r="F137" t="n">
        <v>9</v>
      </c>
      <c r="G137" t="n">
        <v>128802.5018011795</v>
      </c>
      <c r="H137" t="n">
        <v>234.9239713607108</v>
      </c>
      <c r="I137">
        <f>IF(H137=0, 0, G137/H137)</f>
        <v/>
      </c>
      <c r="J137">
        <f>RANK(I137, I$2:I$1111, 0)</f>
        <v/>
      </c>
      <c r="K137">
        <f>SUM(C137)</f>
        <v/>
      </c>
      <c r="L137">
        <f>SUM(K137,D137)</f>
        <v/>
      </c>
      <c r="M137">
        <f>SUM(L137,E137,F137)</f>
        <v/>
      </c>
      <c r="N137">
        <f>IF(L137=0, -1, K137/L137)</f>
        <v/>
      </c>
      <c r="O137">
        <f>IF(M137=0, -1, K137/M137)</f>
        <v/>
      </c>
      <c r="P137">
        <f>IF(M137=0, -1, L137/M137)</f>
        <v/>
      </c>
    </row>
    <row r="138">
      <c r="A138" t="inlineStr">
        <is>
          <t>RC00496</t>
        </is>
      </c>
      <c r="B138" t="inlineStr">
        <is>
          <t>山东工商学院</t>
        </is>
      </c>
      <c r="C138" t="n">
        <v>2</v>
      </c>
      <c r="D138" t="n">
        <v>0</v>
      </c>
      <c r="E138" t="n">
        <v>22</v>
      </c>
      <c r="F138" t="n">
        <v>16</v>
      </c>
      <c r="G138" t="n">
        <v>85514.90293861598</v>
      </c>
      <c r="H138" t="n">
        <v>194.3538557214941</v>
      </c>
      <c r="I138">
        <f>IF(H138=0, 0, G138/H138)</f>
        <v/>
      </c>
      <c r="J138">
        <f>RANK(I138, I$2:I$1111, 0)</f>
        <v/>
      </c>
      <c r="K138">
        <f>SUM(C138)</f>
        <v/>
      </c>
      <c r="L138">
        <f>SUM(K138,D138)</f>
        <v/>
      </c>
      <c r="M138">
        <f>SUM(L138,E138,F138)</f>
        <v/>
      </c>
      <c r="N138">
        <f>IF(L138=0, -1, K138/L138)</f>
        <v/>
      </c>
      <c r="O138">
        <f>IF(M138=0, -1, K138/M138)</f>
        <v/>
      </c>
      <c r="P138">
        <f>IF(M138=0, -1, L138/M138)</f>
        <v/>
      </c>
    </row>
    <row r="139">
      <c r="A139" t="inlineStr">
        <is>
          <t>RC00344</t>
        </is>
      </c>
      <c r="B139" t="inlineStr">
        <is>
          <t>上海政法学院</t>
        </is>
      </c>
      <c r="C139" t="n">
        <v>2</v>
      </c>
      <c r="D139" t="n">
        <v>3</v>
      </c>
      <c r="E139" t="n">
        <v>15</v>
      </c>
      <c r="F139" t="n">
        <v>7</v>
      </c>
      <c r="G139" t="n">
        <v>61712.09619816753</v>
      </c>
      <c r="H139" t="n">
        <v>125.618374476295</v>
      </c>
      <c r="I139">
        <f>IF(H139=0, 0, G139/H139)</f>
        <v/>
      </c>
      <c r="J139">
        <f>RANK(I139, I$2:I$1111, 0)</f>
        <v/>
      </c>
      <c r="K139">
        <f>SUM(C139)</f>
        <v/>
      </c>
      <c r="L139">
        <f>SUM(K139,D139)</f>
        <v/>
      </c>
      <c r="M139">
        <f>SUM(L139,E139,F139)</f>
        <v/>
      </c>
      <c r="N139">
        <f>IF(L139=0, -1, K139/L139)</f>
        <v/>
      </c>
      <c r="O139">
        <f>IF(M139=0, -1, K139/M139)</f>
        <v/>
      </c>
      <c r="P139">
        <f>IF(M139=0, -1, L139/M139)</f>
        <v/>
      </c>
    </row>
    <row r="140">
      <c r="A140" t="inlineStr">
        <is>
          <t>RC00407</t>
        </is>
      </c>
      <c r="B140" t="inlineStr">
        <is>
          <t>安徽师范大学</t>
        </is>
      </c>
      <c r="C140" t="n">
        <v>0</v>
      </c>
      <c r="D140" t="n">
        <v>5</v>
      </c>
      <c r="E140" t="n">
        <v>45</v>
      </c>
      <c r="F140" t="n">
        <v>22</v>
      </c>
      <c r="G140" t="n">
        <v>175336.5678275157</v>
      </c>
      <c r="H140" t="n">
        <v>358.6972023583084</v>
      </c>
      <c r="I140">
        <f>IF(H140=0, 0, G140/H140)</f>
        <v/>
      </c>
      <c r="J140">
        <f>RANK(I140, I$2:I$1111, 0)</f>
        <v/>
      </c>
      <c r="K140">
        <f>SUM(C140)</f>
        <v/>
      </c>
      <c r="L140">
        <f>SUM(K140,D140)</f>
        <v/>
      </c>
      <c r="M140">
        <f>SUM(L140,E140,F140)</f>
        <v/>
      </c>
      <c r="N140">
        <f>IF(L140=0, -1, K140/L140)</f>
        <v/>
      </c>
      <c r="O140">
        <f>IF(M140=0, -1, K140/M140)</f>
        <v/>
      </c>
      <c r="P140">
        <f>IF(M140=0, -1, L140/M140)</f>
        <v/>
      </c>
    </row>
    <row r="141">
      <c r="A141" t="inlineStr">
        <is>
          <t>RC00660</t>
        </is>
      </c>
      <c r="B141" t="inlineStr">
        <is>
          <t>成都理工大学</t>
        </is>
      </c>
      <c r="C141" t="n">
        <v>0</v>
      </c>
      <c r="D141" t="n">
        <v>1</v>
      </c>
      <c r="E141" t="n">
        <v>58</v>
      </c>
      <c r="F141" t="n">
        <v>11</v>
      </c>
      <c r="G141" t="n">
        <v>164739.4682387875</v>
      </c>
      <c r="H141" t="n">
        <v>331.3065228193223</v>
      </c>
      <c r="I141">
        <f>IF(H141=0, 0, G141/H141)</f>
        <v/>
      </c>
      <c r="J141">
        <f>RANK(I141, I$2:I$1111, 0)</f>
        <v/>
      </c>
      <c r="K141">
        <f>SUM(C141)</f>
        <v/>
      </c>
      <c r="L141">
        <f>SUM(K141,D141)</f>
        <v/>
      </c>
      <c r="M141">
        <f>SUM(L141,E141,F141)</f>
        <v/>
      </c>
      <c r="N141">
        <f>IF(L141=0, -1, K141/L141)</f>
        <v/>
      </c>
      <c r="O141">
        <f>IF(M141=0, -1, K141/M141)</f>
        <v/>
      </c>
      <c r="P141">
        <f>IF(M141=0, -1, L141/M141)</f>
        <v/>
      </c>
    </row>
    <row r="142">
      <c r="A142" t="inlineStr">
        <is>
          <t>RC00320</t>
        </is>
      </c>
      <c r="B142" t="inlineStr">
        <is>
          <t>哈尔滨商业大学</t>
        </is>
      </c>
      <c r="C142" t="n">
        <v>1</v>
      </c>
      <c r="D142" t="n">
        <v>0</v>
      </c>
      <c r="E142" t="n">
        <v>18</v>
      </c>
      <c r="F142" t="n">
        <v>28</v>
      </c>
      <c r="G142" t="n">
        <v>95346.97466882915</v>
      </c>
      <c r="H142" t="n">
        <v>231.8984032821939</v>
      </c>
      <c r="I142">
        <f>IF(H142=0, 0, G142/H142)</f>
        <v/>
      </c>
      <c r="J142">
        <f>RANK(I142, I$2:I$1111, 0)</f>
        <v/>
      </c>
      <c r="K142">
        <f>SUM(C142)</f>
        <v/>
      </c>
      <c r="L142">
        <f>SUM(K142,D142)</f>
        <v/>
      </c>
      <c r="M142">
        <f>SUM(L142,E142,F142)</f>
        <v/>
      </c>
      <c r="N142">
        <f>IF(L142=0, -1, K142/L142)</f>
        <v/>
      </c>
      <c r="O142">
        <f>IF(M142=0, -1, K142/M142)</f>
        <v/>
      </c>
      <c r="P142">
        <f>IF(M142=0, -1, L142/M142)</f>
        <v/>
      </c>
    </row>
    <row r="143">
      <c r="A143" t="inlineStr">
        <is>
          <t>RC00469</t>
        </is>
      </c>
      <c r="B143" t="inlineStr">
        <is>
          <t>山东理工大学</t>
        </is>
      </c>
      <c r="C143" t="n">
        <v>0</v>
      </c>
      <c r="D143" t="n">
        <v>1</v>
      </c>
      <c r="E143" t="n">
        <v>26</v>
      </c>
      <c r="F143" t="n">
        <v>31</v>
      </c>
      <c r="G143" t="n">
        <v>118071.7166090464</v>
      </c>
      <c r="H143" t="n">
        <v>290.1724664062904</v>
      </c>
      <c r="I143">
        <f>IF(H143=0, 0, G143/H143)</f>
        <v/>
      </c>
      <c r="J143">
        <f>RANK(I143, I$2:I$1111, 0)</f>
        <v/>
      </c>
      <c r="K143">
        <f>SUM(C143)</f>
        <v/>
      </c>
      <c r="L143">
        <f>SUM(K143,D143)</f>
        <v/>
      </c>
      <c r="M143">
        <f>SUM(L143,E143,F143)</f>
        <v/>
      </c>
      <c r="N143">
        <f>IF(L143=0, -1, K143/L143)</f>
        <v/>
      </c>
      <c r="O143">
        <f>IF(M143=0, -1, K143/M143)</f>
        <v/>
      </c>
      <c r="P143">
        <f>IF(M143=0, -1, L143/M143)</f>
        <v/>
      </c>
    </row>
    <row r="144">
      <c r="A144" t="inlineStr">
        <is>
          <t>RC00141</t>
        </is>
      </c>
      <c r="B144" t="inlineStr">
        <is>
          <t>北京物资学院</t>
        </is>
      </c>
      <c r="C144" t="n">
        <v>1</v>
      </c>
      <c r="D144" t="n">
        <v>2</v>
      </c>
      <c r="E144" t="n">
        <v>16</v>
      </c>
      <c r="F144" t="n">
        <v>5</v>
      </c>
      <c r="G144" t="n">
        <v>59656.92698631033</v>
      </c>
      <c r="H144" t="n">
        <v>120.8316445120188</v>
      </c>
      <c r="I144">
        <f>IF(H144=0, 0, G144/H144)</f>
        <v/>
      </c>
      <c r="J144">
        <f>RANK(I144, I$2:I$1111, 0)</f>
        <v/>
      </c>
      <c r="K144">
        <f>SUM(C144)</f>
        <v/>
      </c>
      <c r="L144">
        <f>SUM(K144,D144)</f>
        <v/>
      </c>
      <c r="M144">
        <f>SUM(L144,E144,F144)</f>
        <v/>
      </c>
      <c r="N144">
        <f>IF(L144=0, -1, K144/L144)</f>
        <v/>
      </c>
      <c r="O144">
        <f>IF(M144=0, -1, K144/M144)</f>
        <v/>
      </c>
      <c r="P144">
        <f>IF(M144=0, -1, L144/M144)</f>
        <v/>
      </c>
    </row>
    <row r="145">
      <c r="A145" t="inlineStr">
        <is>
          <t>RC00646</t>
        </is>
      </c>
      <c r="B145" t="inlineStr">
        <is>
          <t>重庆师范大学</t>
        </is>
      </c>
      <c r="C145" t="n">
        <v>1</v>
      </c>
      <c r="D145" t="n">
        <v>4</v>
      </c>
      <c r="E145" t="n">
        <v>34</v>
      </c>
      <c r="F145" t="n">
        <v>20</v>
      </c>
      <c r="G145" t="n">
        <v>138520.8402122203</v>
      </c>
      <c r="H145" t="n">
        <v>293.188908769785</v>
      </c>
      <c r="I145">
        <f>IF(H145=0, 0, G145/H145)</f>
        <v/>
      </c>
      <c r="J145">
        <f>RANK(I145, I$2:I$1111, 0)</f>
        <v/>
      </c>
      <c r="K145">
        <f>SUM(C145)</f>
        <v/>
      </c>
      <c r="L145">
        <f>SUM(K145,D145)</f>
        <v/>
      </c>
      <c r="M145">
        <f>SUM(L145,E145,F145)</f>
        <v/>
      </c>
      <c r="N145">
        <f>IF(L145=0, -1, K145/L145)</f>
        <v/>
      </c>
      <c r="O145">
        <f>IF(M145=0, -1, K145/M145)</f>
        <v/>
      </c>
      <c r="P145">
        <f>IF(M145=0, -1, L145/M145)</f>
        <v/>
      </c>
    </row>
    <row r="146">
      <c r="A146" t="inlineStr">
        <is>
          <t>RC00173</t>
        </is>
      </c>
      <c r="B146" t="inlineStr">
        <is>
          <t>天津商业大学</t>
        </is>
      </c>
      <c r="C146" t="n">
        <v>0</v>
      </c>
      <c r="D146" t="n">
        <v>2</v>
      </c>
      <c r="E146" t="n">
        <v>14</v>
      </c>
      <c r="F146" t="n">
        <v>25</v>
      </c>
      <c r="G146" t="n">
        <v>85874.33466514539</v>
      </c>
      <c r="H146" t="n">
        <v>210.6837655279189</v>
      </c>
      <c r="I146">
        <f>IF(H146=0, 0, G146/H146)</f>
        <v/>
      </c>
      <c r="J146">
        <f>RANK(I146, I$2:I$1111, 0)</f>
        <v/>
      </c>
      <c r="K146">
        <f>SUM(C146)</f>
        <v/>
      </c>
      <c r="L146">
        <f>SUM(K146,D146)</f>
        <v/>
      </c>
      <c r="M146">
        <f>SUM(L146,E146,F146)</f>
        <v/>
      </c>
      <c r="N146">
        <f>IF(L146=0, -1, K146/L146)</f>
        <v/>
      </c>
      <c r="O146">
        <f>IF(M146=0, -1, K146/M146)</f>
        <v/>
      </c>
      <c r="P146">
        <f>IF(M146=0, -1, L146/M146)</f>
        <v/>
      </c>
    </row>
    <row r="147">
      <c r="A147" t="inlineStr">
        <is>
          <t>RC00661</t>
        </is>
      </c>
      <c r="B147" t="inlineStr">
        <is>
          <t>西南科技大学</t>
        </is>
      </c>
      <c r="C147" t="n">
        <v>0</v>
      </c>
      <c r="D147" t="n">
        <v>1</v>
      </c>
      <c r="E147" t="n">
        <v>33</v>
      </c>
      <c r="F147" t="n">
        <v>31</v>
      </c>
      <c r="G147" t="n">
        <v>134542.6599522753</v>
      </c>
      <c r="H147" t="n">
        <v>321.3684362496795</v>
      </c>
      <c r="I147">
        <f>IF(H147=0, 0, G147/H147)</f>
        <v/>
      </c>
      <c r="J147">
        <f>RANK(I147, I$2:I$1111, 0)</f>
        <v/>
      </c>
      <c r="K147">
        <f>SUM(C147)</f>
        <v/>
      </c>
      <c r="L147">
        <f>SUM(K147,D147)</f>
        <v/>
      </c>
      <c r="M147">
        <f>SUM(L147,E147,F147)</f>
        <v/>
      </c>
      <c r="N147">
        <f>IF(L147=0, -1, K147/L147)</f>
        <v/>
      </c>
      <c r="O147">
        <f>IF(M147=0, -1, K147/M147)</f>
        <v/>
      </c>
      <c r="P147">
        <f>IF(M147=0, -1, L147/M147)</f>
        <v/>
      </c>
    </row>
    <row r="148">
      <c r="A148" t="inlineStr">
        <is>
          <t>RC00627</t>
        </is>
      </c>
      <c r="B148" t="inlineStr">
        <is>
          <t>广西师范大学</t>
        </is>
      </c>
      <c r="C148" t="n">
        <v>0</v>
      </c>
      <c r="D148" t="n">
        <v>10</v>
      </c>
      <c r="E148" t="n">
        <v>39</v>
      </c>
      <c r="F148" t="n">
        <v>18</v>
      </c>
      <c r="G148" t="n">
        <v>170314.3880052727</v>
      </c>
      <c r="H148" t="n">
        <v>336.8479169022094</v>
      </c>
      <c r="I148">
        <f>IF(H148=0, 0, G148/H148)</f>
        <v/>
      </c>
      <c r="J148">
        <f>RANK(I148, I$2:I$1111, 0)</f>
        <v/>
      </c>
      <c r="K148">
        <f>SUM(C148)</f>
        <v/>
      </c>
      <c r="L148">
        <f>SUM(K148,D148)</f>
        <v/>
      </c>
      <c r="M148">
        <f>SUM(L148,E148,F148)</f>
        <v/>
      </c>
      <c r="N148">
        <f>IF(L148=0, -1, K148/L148)</f>
        <v/>
      </c>
      <c r="O148">
        <f>IF(M148=0, -1, K148/M148)</f>
        <v/>
      </c>
      <c r="P148">
        <f>IF(M148=0, -1, L148/M148)</f>
        <v/>
      </c>
    </row>
    <row r="149">
      <c r="A149" t="inlineStr">
        <is>
          <t>RC00137</t>
        </is>
      </c>
      <c r="B149" t="inlineStr">
        <is>
          <t>北京语言大学</t>
        </is>
      </c>
      <c r="C149" t="n">
        <v>2</v>
      </c>
      <c r="D149" t="n">
        <v>6</v>
      </c>
      <c r="E149" t="n">
        <v>24</v>
      </c>
      <c r="F149" t="n">
        <v>9</v>
      </c>
      <c r="G149" t="n">
        <v>107167.6230817961</v>
      </c>
      <c r="H149" t="n">
        <v>180.5216688945254</v>
      </c>
      <c r="I149">
        <f>IF(H149=0, 0, G149/H149)</f>
        <v/>
      </c>
      <c r="J149">
        <f>RANK(I149, I$2:I$1111, 0)</f>
        <v/>
      </c>
      <c r="K149">
        <f>SUM(C149)</f>
        <v/>
      </c>
      <c r="L149">
        <f>SUM(K149,D149)</f>
        <v/>
      </c>
      <c r="M149">
        <f>SUM(L149,E149,F149)</f>
        <v/>
      </c>
      <c r="N149">
        <f>IF(L149=0, -1, K149/L149)</f>
        <v/>
      </c>
      <c r="O149">
        <f>IF(M149=0, -1, K149/M149)</f>
        <v/>
      </c>
      <c r="P149">
        <f>IF(M149=0, -1, L149/M149)</f>
        <v/>
      </c>
    </row>
    <row r="150">
      <c r="A150" t="inlineStr">
        <is>
          <t>RC00659</t>
        </is>
      </c>
      <c r="B150" t="inlineStr">
        <is>
          <t>西南石油大学</t>
        </is>
      </c>
      <c r="C150" t="n">
        <v>0</v>
      </c>
      <c r="D150" t="n">
        <v>3</v>
      </c>
      <c r="E150" t="n">
        <v>54</v>
      </c>
      <c r="F150" t="n">
        <v>11</v>
      </c>
      <c r="G150" t="n">
        <v>165391.9730237059</v>
      </c>
      <c r="H150" t="n">
        <v>326.3950662694381</v>
      </c>
      <c r="I150">
        <f>IF(H150=0, 0, G150/H150)</f>
        <v/>
      </c>
      <c r="J150">
        <f>RANK(I150, I$2:I$1111, 0)</f>
        <v/>
      </c>
      <c r="K150">
        <f>SUM(C150)</f>
        <v/>
      </c>
      <c r="L150">
        <f>SUM(K150,D150)</f>
        <v/>
      </c>
      <c r="M150">
        <f>SUM(L150,E150,F150)</f>
        <v/>
      </c>
      <c r="N150">
        <f>IF(L150=0, -1, K150/L150)</f>
        <v/>
      </c>
      <c r="O150">
        <f>IF(M150=0, -1, K150/M150)</f>
        <v/>
      </c>
      <c r="P150">
        <f>IF(M150=0, -1, L150/M150)</f>
        <v/>
      </c>
    </row>
    <row r="151">
      <c r="A151" t="inlineStr">
        <is>
          <t>RC00157</t>
        </is>
      </c>
      <c r="B151" t="inlineStr">
        <is>
          <t>北京信息科技大学</t>
        </is>
      </c>
      <c r="C151" t="n">
        <v>0</v>
      </c>
      <c r="D151" t="n">
        <v>9</v>
      </c>
      <c r="E151" t="n">
        <v>22</v>
      </c>
      <c r="F151" t="n">
        <v>6</v>
      </c>
      <c r="G151" t="n">
        <v>101518.2113536003</v>
      </c>
      <c r="H151" t="n">
        <v>187.6783669514499</v>
      </c>
      <c r="I151">
        <f>IF(H151=0, 0, G151/H151)</f>
        <v/>
      </c>
      <c r="J151">
        <f>RANK(I151, I$2:I$1111, 0)</f>
        <v/>
      </c>
      <c r="K151">
        <f>SUM(C151)</f>
        <v/>
      </c>
      <c r="L151">
        <f>SUM(K151,D151)</f>
        <v/>
      </c>
      <c r="M151">
        <f>SUM(L151,E151,F151)</f>
        <v/>
      </c>
      <c r="N151">
        <f>IF(L151=0, -1, K151/L151)</f>
        <v/>
      </c>
      <c r="O151">
        <f>IF(M151=0, -1, K151/M151)</f>
        <v/>
      </c>
      <c r="P151">
        <f>IF(M151=0, -1, L151/M151)</f>
        <v/>
      </c>
    </row>
    <row r="152">
      <c r="A152" t="inlineStr">
        <is>
          <t>RC00679</t>
        </is>
      </c>
      <c r="B152" t="inlineStr">
        <is>
          <t>西南民族大学</t>
        </is>
      </c>
      <c r="C152" t="n">
        <v>0</v>
      </c>
      <c r="D152" t="n">
        <v>0</v>
      </c>
      <c r="E152" t="n">
        <v>31</v>
      </c>
      <c r="F152" t="n">
        <v>31</v>
      </c>
      <c r="G152" t="n">
        <v>131777.81675995</v>
      </c>
      <c r="H152" t="n">
        <v>312.8626358955972</v>
      </c>
      <c r="I152">
        <f>IF(H152=0, 0, G152/H152)</f>
        <v/>
      </c>
      <c r="J152">
        <f>RANK(I152, I$2:I$1111, 0)</f>
        <v/>
      </c>
      <c r="K152">
        <f>SUM(C152)</f>
        <v/>
      </c>
      <c r="L152">
        <f>SUM(K152,D152)</f>
        <v/>
      </c>
      <c r="M152">
        <f>SUM(L152,E152,F152)</f>
        <v/>
      </c>
      <c r="N152">
        <f>IF(L152=0, -1, K152/L152)</f>
        <v/>
      </c>
      <c r="O152">
        <f>IF(M152=0, -1, K152/M152)</f>
        <v/>
      </c>
      <c r="P152">
        <f>IF(M152=0, -1, L152/M152)</f>
        <v/>
      </c>
    </row>
    <row r="153">
      <c r="A153" t="inlineStr">
        <is>
          <t>RC00645</t>
        </is>
      </c>
      <c r="B153" t="inlineStr">
        <is>
          <t>重庆交通大学</t>
        </is>
      </c>
      <c r="C153" t="n">
        <v>0</v>
      </c>
      <c r="D153" t="n">
        <v>3</v>
      </c>
      <c r="E153" t="n">
        <v>36</v>
      </c>
      <c r="F153" t="n">
        <v>19</v>
      </c>
      <c r="G153" t="n">
        <v>126739.2971863318</v>
      </c>
      <c r="H153" t="n">
        <v>266.3422869703873</v>
      </c>
      <c r="I153">
        <f>IF(H153=0, 0, G153/H153)</f>
        <v/>
      </c>
      <c r="J153">
        <f>RANK(I153, I$2:I$1111, 0)</f>
        <v/>
      </c>
      <c r="K153">
        <f>SUM(C153)</f>
        <v/>
      </c>
      <c r="L153">
        <f>SUM(K153,D153)</f>
        <v/>
      </c>
      <c r="M153">
        <f>SUM(L153,E153,F153)</f>
        <v/>
      </c>
      <c r="N153">
        <f>IF(L153=0, -1, K153/L153)</f>
        <v/>
      </c>
      <c r="O153">
        <f>IF(M153=0, -1, K153/M153)</f>
        <v/>
      </c>
      <c r="P153">
        <f>IF(M153=0, -1, L153/M153)</f>
        <v/>
      </c>
    </row>
    <row r="154">
      <c r="A154" t="inlineStr">
        <is>
          <t>RC00514</t>
        </is>
      </c>
      <c r="B154" t="inlineStr">
        <is>
          <t>河南师范大学</t>
        </is>
      </c>
      <c r="C154" t="n">
        <v>0</v>
      </c>
      <c r="D154" t="n">
        <v>2</v>
      </c>
      <c r="E154" t="n">
        <v>32</v>
      </c>
      <c r="F154" t="n">
        <v>27</v>
      </c>
      <c r="G154" t="n">
        <v>135044.6685841102</v>
      </c>
      <c r="H154" t="n">
        <v>299.2459359852321</v>
      </c>
      <c r="I154">
        <f>IF(H154=0, 0, G154/H154)</f>
        <v/>
      </c>
      <c r="J154">
        <f>RANK(I154, I$2:I$1111, 0)</f>
        <v/>
      </c>
      <c r="K154">
        <f>SUM(C154)</f>
        <v/>
      </c>
      <c r="L154">
        <f>SUM(K154,D154)</f>
        <v/>
      </c>
      <c r="M154">
        <f>SUM(L154,E154,F154)</f>
        <v/>
      </c>
      <c r="N154">
        <f>IF(L154=0, -1, K154/L154)</f>
        <v/>
      </c>
      <c r="O154">
        <f>IF(M154=0, -1, K154/M154)</f>
        <v/>
      </c>
      <c r="P154">
        <f>IF(M154=0, -1, L154/M154)</f>
        <v/>
      </c>
    </row>
    <row r="155">
      <c r="A155" t="inlineStr">
        <is>
          <t>RC00066</t>
        </is>
      </c>
      <c r="B155" t="inlineStr">
        <is>
          <t>中国石油大学（北京）</t>
        </is>
      </c>
      <c r="C155" t="n">
        <v>3</v>
      </c>
      <c r="D155" t="n">
        <v>8</v>
      </c>
      <c r="E155" t="n">
        <v>22</v>
      </c>
      <c r="F155" t="n">
        <v>7</v>
      </c>
      <c r="G155" t="n">
        <v>111108.1820995121</v>
      </c>
      <c r="H155" t="n">
        <v>187.6822553391675</v>
      </c>
      <c r="I155">
        <f>IF(H155=0, 0, G155/H155)</f>
        <v/>
      </c>
      <c r="J155">
        <f>RANK(I155, I$2:I$1111, 0)</f>
        <v/>
      </c>
      <c r="K155">
        <f>SUM(C155)</f>
        <v/>
      </c>
      <c r="L155">
        <f>SUM(K155,D155)</f>
        <v/>
      </c>
      <c r="M155">
        <f>SUM(L155,E155,F155)</f>
        <v/>
      </c>
      <c r="N155">
        <f>IF(L155=0, -1, K155/L155)</f>
        <v/>
      </c>
      <c r="O155">
        <f>IF(M155=0, -1, K155/M155)</f>
        <v/>
      </c>
      <c r="P155">
        <f>IF(M155=0, -1, L155/M155)</f>
        <v/>
      </c>
    </row>
    <row r="156">
      <c r="A156" t="inlineStr">
        <is>
          <t>RC00760</t>
        </is>
      </c>
      <c r="B156" t="inlineStr">
        <is>
          <t>西北师范大学</t>
        </is>
      </c>
      <c r="C156" t="n">
        <v>0</v>
      </c>
      <c r="D156" t="n">
        <v>4</v>
      </c>
      <c r="E156" t="n">
        <v>37</v>
      </c>
      <c r="F156" t="n">
        <v>21</v>
      </c>
      <c r="G156" t="n">
        <v>149735.2406462429</v>
      </c>
      <c r="H156" t="n">
        <v>312.117436520613</v>
      </c>
      <c r="I156">
        <f>IF(H156=0, 0, G156/H156)</f>
        <v/>
      </c>
      <c r="J156">
        <f>RANK(I156, I$2:I$1111, 0)</f>
        <v/>
      </c>
      <c r="K156">
        <f>SUM(C156)</f>
        <v/>
      </c>
      <c r="L156">
        <f>SUM(K156,D156)</f>
        <v/>
      </c>
      <c r="M156">
        <f>SUM(L156,E156,F156)</f>
        <v/>
      </c>
      <c r="N156">
        <f>IF(L156=0, -1, K156/L156)</f>
        <v/>
      </c>
      <c r="O156">
        <f>IF(M156=0, -1, K156/M156)</f>
        <v/>
      </c>
      <c r="P156">
        <f>IF(M156=0, -1, L156/M156)</f>
        <v/>
      </c>
    </row>
    <row r="157">
      <c r="A157" t="inlineStr">
        <is>
          <t>RC00581</t>
        </is>
      </c>
      <c r="B157" t="inlineStr">
        <is>
          <t>南华大学</t>
        </is>
      </c>
      <c r="C157" t="n">
        <v>1</v>
      </c>
      <c r="D157" t="n">
        <v>0</v>
      </c>
      <c r="E157" t="n">
        <v>36</v>
      </c>
      <c r="F157" t="n">
        <v>27</v>
      </c>
      <c r="G157" t="n">
        <v>134302.6565914658</v>
      </c>
      <c r="H157" t="n">
        <v>300.4461485154983</v>
      </c>
      <c r="I157">
        <f>IF(H157=0, 0, G157/H157)</f>
        <v/>
      </c>
      <c r="J157">
        <f>RANK(I157, I$2:I$1111, 0)</f>
        <v/>
      </c>
      <c r="K157">
        <f>SUM(C157)</f>
        <v/>
      </c>
      <c r="L157">
        <f>SUM(K157,D157)</f>
        <v/>
      </c>
      <c r="M157">
        <f>SUM(L157,E157,F157)</f>
        <v/>
      </c>
      <c r="N157">
        <f>IF(L157=0, -1, K157/L157)</f>
        <v/>
      </c>
      <c r="O157">
        <f>IF(M157=0, -1, K157/M157)</f>
        <v/>
      </c>
      <c r="P157">
        <f>IF(M157=0, -1, L157/M157)</f>
        <v/>
      </c>
    </row>
    <row r="158">
      <c r="A158" t="inlineStr">
        <is>
          <t>RC00281</t>
        </is>
      </c>
      <c r="B158" t="inlineStr">
        <is>
          <t>延边大学</t>
        </is>
      </c>
      <c r="C158" t="n">
        <v>0</v>
      </c>
      <c r="D158" t="n">
        <v>6</v>
      </c>
      <c r="E158" t="n">
        <v>27</v>
      </c>
      <c r="F158" t="n">
        <v>20</v>
      </c>
      <c r="G158" t="n">
        <v>123718.8974831501</v>
      </c>
      <c r="H158" t="n">
        <v>266.7778907547378</v>
      </c>
      <c r="I158">
        <f>IF(H158=0, 0, G158/H158)</f>
        <v/>
      </c>
      <c r="J158">
        <f>RANK(I158, I$2:I$1111, 0)</f>
        <v/>
      </c>
      <c r="K158">
        <f>SUM(C158)</f>
        <v/>
      </c>
      <c r="L158">
        <f>SUM(K158,D158)</f>
        <v/>
      </c>
      <c r="M158">
        <f>SUM(L158,E158,F158)</f>
        <v/>
      </c>
      <c r="N158">
        <f>IF(L158=0, -1, K158/L158)</f>
        <v/>
      </c>
      <c r="O158">
        <f>IF(M158=0, -1, K158/M158)</f>
        <v/>
      </c>
      <c r="P158">
        <f>IF(M158=0, -1, L158/M158)</f>
        <v/>
      </c>
    </row>
    <row r="159">
      <c r="A159" t="inlineStr">
        <is>
          <t>RC00094</t>
        </is>
      </c>
      <c r="B159" t="inlineStr">
        <is>
          <t>华南农业大学</t>
        </is>
      </c>
      <c r="C159" t="n">
        <v>3</v>
      </c>
      <c r="D159" t="n">
        <v>9</v>
      </c>
      <c r="E159" t="n">
        <v>55</v>
      </c>
      <c r="F159" t="n">
        <v>22</v>
      </c>
      <c r="G159" t="n">
        <v>208551.039680097</v>
      </c>
      <c r="H159" t="n">
        <v>400.8229286715615</v>
      </c>
      <c r="I159">
        <f>IF(H159=0, 0, G159/H159)</f>
        <v/>
      </c>
      <c r="J159">
        <f>RANK(I159, I$2:I$1111, 0)</f>
        <v/>
      </c>
      <c r="K159">
        <f>SUM(C159)</f>
        <v/>
      </c>
      <c r="L159">
        <f>SUM(K159,D159)</f>
        <v/>
      </c>
      <c r="M159">
        <f>SUM(L159,E159,F159)</f>
        <v/>
      </c>
      <c r="N159">
        <f>IF(L159=0, -1, K159/L159)</f>
        <v/>
      </c>
      <c r="O159">
        <f>IF(M159=0, -1, K159/M159)</f>
        <v/>
      </c>
      <c r="P159">
        <f>IF(M159=0, -1, L159/M159)</f>
        <v/>
      </c>
    </row>
    <row r="160">
      <c r="A160" t="inlineStr">
        <is>
          <t>RC00105</t>
        </is>
      </c>
      <c r="B160" t="inlineStr">
        <is>
          <t>中国药科大学</t>
        </is>
      </c>
      <c r="C160" t="n">
        <v>12</v>
      </c>
      <c r="D160" t="n">
        <v>2</v>
      </c>
      <c r="E160" t="n">
        <v>7</v>
      </c>
      <c r="F160" t="n">
        <v>2</v>
      </c>
      <c r="G160" t="n">
        <v>63608.46901874183</v>
      </c>
      <c r="H160" t="n">
        <v>84.90585703125137</v>
      </c>
      <c r="I160">
        <f>IF(H160=0, 0, G160/H160)</f>
        <v/>
      </c>
      <c r="J160">
        <f>RANK(I160, I$2:I$1111, 0)</f>
        <v/>
      </c>
      <c r="K160">
        <f>SUM(C160)</f>
        <v/>
      </c>
      <c r="L160">
        <f>SUM(K160,D160)</f>
        <v/>
      </c>
      <c r="M160">
        <f>SUM(L160,E160,F160)</f>
        <v/>
      </c>
      <c r="N160">
        <f>IF(L160=0, -1, K160/L160)</f>
        <v/>
      </c>
      <c r="O160">
        <f>IF(M160=0, -1, K160/M160)</f>
        <v/>
      </c>
      <c r="P160">
        <f>IF(M160=0, -1, L160/M160)</f>
        <v/>
      </c>
    </row>
    <row r="161">
      <c r="A161" t="inlineStr">
        <is>
          <t>RC00562</t>
        </is>
      </c>
      <c r="B161" t="inlineStr">
        <is>
          <t>湖北经济学院</t>
        </is>
      </c>
      <c r="C161" t="n">
        <v>0</v>
      </c>
      <c r="D161" t="n">
        <v>0</v>
      </c>
      <c r="E161" t="n">
        <v>16</v>
      </c>
      <c r="F161" t="n">
        <v>30</v>
      </c>
      <c r="G161" t="n">
        <v>90383.80515280174</v>
      </c>
      <c r="H161" t="n">
        <v>229.1860379568442</v>
      </c>
      <c r="I161">
        <f>IF(H161=0, 0, G161/H161)</f>
        <v/>
      </c>
      <c r="J161">
        <f>RANK(I161, I$2:I$1111, 0)</f>
        <v/>
      </c>
      <c r="K161">
        <f>SUM(C161)</f>
        <v/>
      </c>
      <c r="L161">
        <f>SUM(K161,D161)</f>
        <v/>
      </c>
      <c r="M161">
        <f>SUM(L161,E161,F161)</f>
        <v/>
      </c>
      <c r="N161">
        <f>IF(L161=0, -1, K161/L161)</f>
        <v/>
      </c>
      <c r="O161">
        <f>IF(M161=0, -1, K161/M161)</f>
        <v/>
      </c>
      <c r="P161">
        <f>IF(M161=0, -1, L161/M161)</f>
        <v/>
      </c>
    </row>
    <row r="162">
      <c r="A162" t="inlineStr">
        <is>
          <t>RC00443</t>
        </is>
      </c>
      <c r="B162" t="inlineStr">
        <is>
          <t>南昌航空大学</t>
        </is>
      </c>
      <c r="C162" t="n">
        <v>0</v>
      </c>
      <c r="D162" t="n">
        <v>3</v>
      </c>
      <c r="E162" t="n">
        <v>30</v>
      </c>
      <c r="F162" t="n">
        <v>14</v>
      </c>
      <c r="G162" t="n">
        <v>101594.8947733127</v>
      </c>
      <c r="H162" t="n">
        <v>220.6832711327869</v>
      </c>
      <c r="I162">
        <f>IF(H162=0, 0, G162/H162)</f>
        <v/>
      </c>
      <c r="J162">
        <f>RANK(I162, I$2:I$1111, 0)</f>
        <v/>
      </c>
      <c r="K162">
        <f>SUM(C162)</f>
        <v/>
      </c>
      <c r="L162">
        <f>SUM(K162,D162)</f>
        <v/>
      </c>
      <c r="M162">
        <f>SUM(L162,E162,F162)</f>
        <v/>
      </c>
      <c r="N162">
        <f>IF(L162=0, -1, K162/L162)</f>
        <v/>
      </c>
      <c r="O162">
        <f>IF(M162=0, -1, K162/M162)</f>
        <v/>
      </c>
      <c r="P162">
        <f>IF(M162=0, -1, L162/M162)</f>
        <v/>
      </c>
    </row>
    <row r="163">
      <c r="A163" t="inlineStr">
        <is>
          <t>RC00566</t>
        </is>
      </c>
      <c r="B163" t="inlineStr">
        <is>
          <t>吉首大学</t>
        </is>
      </c>
      <c r="C163" t="n">
        <v>0</v>
      </c>
      <c r="D163" t="n">
        <v>2</v>
      </c>
      <c r="E163" t="n">
        <v>14</v>
      </c>
      <c r="F163" t="n">
        <v>38</v>
      </c>
      <c r="G163" t="n">
        <v>109216.7579586652</v>
      </c>
      <c r="H163" t="n">
        <v>283.2168587301084</v>
      </c>
      <c r="I163">
        <f>IF(H163=0, 0, G163/H163)</f>
        <v/>
      </c>
      <c r="J163">
        <f>RANK(I163, I$2:I$1111, 0)</f>
        <v/>
      </c>
      <c r="K163">
        <f>SUM(C163)</f>
        <v/>
      </c>
      <c r="L163">
        <f>SUM(K163,D163)</f>
        <v/>
      </c>
      <c r="M163">
        <f>SUM(L163,E163,F163)</f>
        <v/>
      </c>
      <c r="N163">
        <f>IF(L163=0, -1, K163/L163)</f>
        <v/>
      </c>
      <c r="O163">
        <f>IF(M163=0, -1, K163/M163)</f>
        <v/>
      </c>
      <c r="P163">
        <f>IF(M163=0, -1, L163/M163)</f>
        <v/>
      </c>
    </row>
    <row r="164">
      <c r="A164" t="inlineStr">
        <is>
          <t>RC00613</t>
        </is>
      </c>
      <c r="B164" t="inlineStr">
        <is>
          <t>广东金融学院</t>
        </is>
      </c>
      <c r="C164" t="n">
        <v>0</v>
      </c>
      <c r="D164" t="n">
        <v>1</v>
      </c>
      <c r="E164" t="n">
        <v>16</v>
      </c>
      <c r="F164" t="n">
        <v>21</v>
      </c>
      <c r="G164" t="n">
        <v>71748.84677306781</v>
      </c>
      <c r="H164" t="n">
        <v>177.2084311150012</v>
      </c>
      <c r="I164">
        <f>IF(H164=0, 0, G164/H164)</f>
        <v/>
      </c>
      <c r="J164">
        <f>RANK(I164, I$2:I$1111, 0)</f>
        <v/>
      </c>
      <c r="K164">
        <f>SUM(C164)</f>
        <v/>
      </c>
      <c r="L164">
        <f>SUM(K164,D164)</f>
        <v/>
      </c>
      <c r="M164">
        <f>SUM(L164,E164,F164)</f>
        <v/>
      </c>
      <c r="N164">
        <f>IF(L164=0, -1, K164/L164)</f>
        <v/>
      </c>
      <c r="O164">
        <f>IF(M164=0, -1, K164/M164)</f>
        <v/>
      </c>
      <c r="P164">
        <f>IF(M164=0, -1, L164/M164)</f>
        <v/>
      </c>
    </row>
    <row r="165">
      <c r="A165" t="inlineStr">
        <is>
          <t>RC00387</t>
        </is>
      </c>
      <c r="B165" t="inlineStr">
        <is>
          <t>嘉兴大学</t>
        </is>
      </c>
      <c r="C165" t="n">
        <v>0</v>
      </c>
      <c r="D165" t="n">
        <v>1</v>
      </c>
      <c r="E165" t="n">
        <v>17</v>
      </c>
      <c r="F165" t="n">
        <v>30</v>
      </c>
      <c r="G165" t="n">
        <v>95666.76804635198</v>
      </c>
      <c r="H165" t="n">
        <v>251.9467226108352</v>
      </c>
      <c r="I165">
        <f>IF(H165=0, 0, G165/H165)</f>
        <v/>
      </c>
      <c r="J165">
        <f>RANK(I165, I$2:I$1111, 0)</f>
        <v/>
      </c>
      <c r="K165">
        <f>SUM(C165)</f>
        <v/>
      </c>
      <c r="L165">
        <f>SUM(K165,D165)</f>
        <v/>
      </c>
      <c r="M165">
        <f>SUM(L165,E165,F165)</f>
        <v/>
      </c>
      <c r="N165">
        <f>IF(L165=0, -1, K165/L165)</f>
        <v/>
      </c>
      <c r="O165">
        <f>IF(M165=0, -1, K165/M165)</f>
        <v/>
      </c>
      <c r="P165">
        <f>IF(M165=0, -1, L165/M165)</f>
        <v/>
      </c>
    </row>
    <row r="166">
      <c r="A166" t="inlineStr">
        <is>
          <t>RC00765</t>
        </is>
      </c>
      <c r="B166" t="inlineStr">
        <is>
          <t>兰州财经大学</t>
        </is>
      </c>
      <c r="C166" t="n">
        <v>0</v>
      </c>
      <c r="D166" t="n">
        <v>0</v>
      </c>
      <c r="E166" t="n">
        <v>15</v>
      </c>
      <c r="F166" t="n">
        <v>27</v>
      </c>
      <c r="G166" t="n">
        <v>82841.64446455904</v>
      </c>
      <c r="H166" t="n">
        <v>213.212388831975</v>
      </c>
      <c r="I166">
        <f>IF(H166=0, 0, G166/H166)</f>
        <v/>
      </c>
      <c r="J166">
        <f>RANK(I166, I$2:I$1111, 0)</f>
        <v/>
      </c>
      <c r="K166">
        <f>SUM(C166)</f>
        <v/>
      </c>
      <c r="L166">
        <f>SUM(K166,D166)</f>
        <v/>
      </c>
      <c r="M166">
        <f>SUM(L166,E166,F166)</f>
        <v/>
      </c>
      <c r="N166">
        <f>IF(L166=0, -1, K166/L166)</f>
        <v/>
      </c>
      <c r="O166">
        <f>IF(M166=0, -1, K166/M166)</f>
        <v/>
      </c>
      <c r="P166">
        <f>IF(M166=0, -1, L166/M166)</f>
        <v/>
      </c>
    </row>
    <row r="167">
      <c r="A167" t="inlineStr">
        <is>
          <t>RC00642</t>
        </is>
      </c>
      <c r="B167" t="inlineStr">
        <is>
          <t>海南师范大学</t>
        </is>
      </c>
      <c r="C167" t="n">
        <v>1</v>
      </c>
      <c r="D167" t="n">
        <v>2</v>
      </c>
      <c r="E167" t="n">
        <v>31</v>
      </c>
      <c r="F167" t="n">
        <v>22</v>
      </c>
      <c r="G167" t="n">
        <v>126257.4542299537</v>
      </c>
      <c r="H167" t="n">
        <v>284.2688158793351</v>
      </c>
      <c r="I167">
        <f>IF(H167=0, 0, G167/H167)</f>
        <v/>
      </c>
      <c r="J167">
        <f>RANK(I167, I$2:I$1111, 0)</f>
        <v/>
      </c>
      <c r="K167">
        <f>SUM(C167)</f>
        <v/>
      </c>
      <c r="L167">
        <f>SUM(K167,D167)</f>
        <v/>
      </c>
      <c r="M167">
        <f>SUM(L167,E167,F167)</f>
        <v/>
      </c>
      <c r="N167">
        <f>IF(L167=0, -1, K167/L167)</f>
        <v/>
      </c>
      <c r="O167">
        <f>IF(M167=0, -1, K167/M167)</f>
        <v/>
      </c>
      <c r="P167">
        <f>IF(M167=0, -1, L167/M167)</f>
        <v/>
      </c>
    </row>
    <row r="168">
      <c r="A168" t="inlineStr">
        <is>
          <t>RC00804</t>
        </is>
      </c>
      <c r="B168" t="inlineStr">
        <is>
          <t>上海立信会计金融学院</t>
        </is>
      </c>
      <c r="C168" t="n">
        <v>0</v>
      </c>
      <c r="D168" t="n">
        <v>0</v>
      </c>
      <c r="E168" t="n">
        <v>16</v>
      </c>
      <c r="F168" t="n">
        <v>17</v>
      </c>
      <c r="G168" t="n">
        <v>69090.16332834533</v>
      </c>
      <c r="H168" t="n">
        <v>167.4009823018821</v>
      </c>
      <c r="I168">
        <f>IF(H168=0, 0, G168/H168)</f>
        <v/>
      </c>
      <c r="J168">
        <f>RANK(I168, I$2:I$1111, 0)</f>
        <v/>
      </c>
      <c r="K168">
        <f>SUM(C168)</f>
        <v/>
      </c>
      <c r="L168">
        <f>SUM(K168,D168)</f>
        <v/>
      </c>
      <c r="M168">
        <f>SUM(L168,E168,F168)</f>
        <v/>
      </c>
      <c r="N168">
        <f>IF(L168=0, -1, K168/L168)</f>
        <v/>
      </c>
      <c r="O168">
        <f>IF(M168=0, -1, K168/M168)</f>
        <v/>
      </c>
      <c r="P168">
        <f>IF(M168=0, -1, L168/M168)</f>
        <v/>
      </c>
    </row>
    <row r="169">
      <c r="A169" t="inlineStr">
        <is>
          <t>RC00724</t>
        </is>
      </c>
      <c r="B169" t="inlineStr">
        <is>
          <t>西藏大学</t>
        </is>
      </c>
      <c r="C169" t="n">
        <v>0</v>
      </c>
      <c r="D169" t="n">
        <v>2</v>
      </c>
      <c r="E169" t="n">
        <v>12</v>
      </c>
      <c r="F169" t="n">
        <v>26</v>
      </c>
      <c r="G169" t="n">
        <v>82835.91028761129</v>
      </c>
      <c r="H169" t="n">
        <v>204.2611703158525</v>
      </c>
      <c r="I169">
        <f>IF(H169=0, 0, G169/H169)</f>
        <v/>
      </c>
      <c r="J169">
        <f>RANK(I169, I$2:I$1111, 0)</f>
        <v/>
      </c>
      <c r="K169">
        <f>SUM(C169)</f>
        <v/>
      </c>
      <c r="L169">
        <f>SUM(K169,D169)</f>
        <v/>
      </c>
      <c r="M169">
        <f>SUM(L169,E169,F169)</f>
        <v/>
      </c>
      <c r="N169">
        <f>IF(L169=0, -1, K169/L169)</f>
        <v/>
      </c>
      <c r="O169">
        <f>IF(M169=0, -1, K169/M169)</f>
        <v/>
      </c>
      <c r="P169">
        <f>IF(M169=0, -1, L169/M169)</f>
        <v/>
      </c>
    </row>
    <row r="170">
      <c r="A170" t="inlineStr">
        <is>
          <t>RC00718</t>
        </is>
      </c>
      <c r="B170" t="inlineStr">
        <is>
          <t>云南民族大学</t>
        </is>
      </c>
      <c r="C170" t="n">
        <v>1</v>
      </c>
      <c r="D170" t="n">
        <v>0</v>
      </c>
      <c r="E170" t="n">
        <v>17</v>
      </c>
      <c r="F170" t="n">
        <v>32</v>
      </c>
      <c r="G170" t="n">
        <v>93652.72252643225</v>
      </c>
      <c r="H170" t="n">
        <v>234.6800131312345</v>
      </c>
      <c r="I170">
        <f>IF(H170=0, 0, G170/H170)</f>
        <v/>
      </c>
      <c r="J170">
        <f>RANK(I170, I$2:I$1111, 0)</f>
        <v/>
      </c>
      <c r="K170">
        <f>SUM(C170)</f>
        <v/>
      </c>
      <c r="L170">
        <f>SUM(K170,D170)</f>
        <v/>
      </c>
      <c r="M170">
        <f>SUM(L170,E170,F170)</f>
        <v/>
      </c>
      <c r="N170">
        <f>IF(L170=0, -1, K170/L170)</f>
        <v/>
      </c>
      <c r="O170">
        <f>IF(M170=0, -1, K170/M170)</f>
        <v/>
      </c>
      <c r="P170">
        <f>IF(M170=0, -1, L170/M170)</f>
        <v/>
      </c>
    </row>
    <row r="171">
      <c r="A171" t="inlineStr">
        <is>
          <t>RC00537</t>
        </is>
      </c>
      <c r="B171" t="inlineStr">
        <is>
          <t>长江大学</t>
        </is>
      </c>
      <c r="C171" t="n">
        <v>1</v>
      </c>
      <c r="D171" t="n">
        <v>3</v>
      </c>
      <c r="E171" t="n">
        <v>52</v>
      </c>
      <c r="F171" t="n">
        <v>31</v>
      </c>
      <c r="G171" t="n">
        <v>183462.7084747305</v>
      </c>
      <c r="H171" t="n">
        <v>414.1475273445622</v>
      </c>
      <c r="I171">
        <f>IF(H171=0, 0, G171/H171)</f>
        <v/>
      </c>
      <c r="J171">
        <f>RANK(I171, I$2:I$1111, 0)</f>
        <v/>
      </c>
      <c r="K171">
        <f>SUM(C171)</f>
        <v/>
      </c>
      <c r="L171">
        <f>SUM(K171,D171)</f>
        <v/>
      </c>
      <c r="M171">
        <f>SUM(L171,E171,F171)</f>
        <v/>
      </c>
      <c r="N171">
        <f>IF(L171=0, -1, K171/L171)</f>
        <v/>
      </c>
      <c r="O171">
        <f>IF(M171=0, -1, K171/M171)</f>
        <v/>
      </c>
      <c r="P171">
        <f>IF(M171=0, -1, L171/M171)</f>
        <v/>
      </c>
    </row>
    <row r="172">
      <c r="A172" t="inlineStr">
        <is>
          <t>RC00279</t>
        </is>
      </c>
      <c r="B172" t="inlineStr">
        <is>
          <t>大连民族大学</t>
        </is>
      </c>
      <c r="C172" t="n">
        <v>0</v>
      </c>
      <c r="D172" t="n">
        <v>0</v>
      </c>
      <c r="E172" t="n">
        <v>15</v>
      </c>
      <c r="F172" t="n">
        <v>29</v>
      </c>
      <c r="G172" t="n">
        <v>87542.06499195861</v>
      </c>
      <c r="H172" t="n">
        <v>232.0739503059558</v>
      </c>
      <c r="I172">
        <f>IF(H172=0, 0, G172/H172)</f>
        <v/>
      </c>
      <c r="J172">
        <f>RANK(I172, I$2:I$1111, 0)</f>
        <v/>
      </c>
      <c r="K172">
        <f>SUM(C172)</f>
        <v/>
      </c>
      <c r="L172">
        <f>SUM(K172,D172)</f>
        <v/>
      </c>
      <c r="M172">
        <f>SUM(L172,E172,F172)</f>
        <v/>
      </c>
      <c r="N172">
        <f>IF(L172=0, -1, K172/L172)</f>
        <v/>
      </c>
      <c r="O172">
        <f>IF(M172=0, -1, K172/M172)</f>
        <v/>
      </c>
      <c r="P172">
        <f>IF(M172=0, -1, L172/M172)</f>
        <v/>
      </c>
    </row>
    <row r="173">
      <c r="A173" t="inlineStr">
        <is>
          <t>RC00507</t>
        </is>
      </c>
      <c r="B173" t="inlineStr">
        <is>
          <t>河南科技大学</t>
        </is>
      </c>
      <c r="C173" t="n">
        <v>1</v>
      </c>
      <c r="D173" t="n">
        <v>2</v>
      </c>
      <c r="E173" t="n">
        <v>32</v>
      </c>
      <c r="F173" t="n">
        <v>45</v>
      </c>
      <c r="G173" t="n">
        <v>162724.4653360531</v>
      </c>
      <c r="H173" t="n">
        <v>379.3874974656536</v>
      </c>
      <c r="I173">
        <f>IF(H173=0, 0, G173/H173)</f>
        <v/>
      </c>
      <c r="J173">
        <f>RANK(I173, I$2:I$1111, 0)</f>
        <v/>
      </c>
      <c r="K173">
        <f>SUM(C173)</f>
        <v/>
      </c>
      <c r="L173">
        <f>SUM(K173,D173)</f>
        <v/>
      </c>
      <c r="M173">
        <f>SUM(L173,E173,F173)</f>
        <v/>
      </c>
      <c r="N173">
        <f>IF(L173=0, -1, K173/L173)</f>
        <v/>
      </c>
      <c r="O173">
        <f>IF(M173=0, -1, K173/M173)</f>
        <v/>
      </c>
      <c r="P173">
        <f>IF(M173=0, -1, L173/M173)</f>
        <v/>
      </c>
    </row>
    <row r="174">
      <c r="A174" t="inlineStr">
        <is>
          <t>RC00569</t>
        </is>
      </c>
      <c r="B174" t="inlineStr">
        <is>
          <t>湖南农业大学</t>
        </is>
      </c>
      <c r="C174" t="n">
        <v>2</v>
      </c>
      <c r="D174" t="n">
        <v>1</v>
      </c>
      <c r="E174" t="n">
        <v>29</v>
      </c>
      <c r="F174" t="n">
        <v>33</v>
      </c>
      <c r="G174" t="n">
        <v>132620.5772676303</v>
      </c>
      <c r="H174" t="n">
        <v>294.5451323998615</v>
      </c>
      <c r="I174">
        <f>IF(H174=0, 0, G174/H174)</f>
        <v/>
      </c>
      <c r="J174">
        <f>RANK(I174, I$2:I$1111, 0)</f>
        <v/>
      </c>
      <c r="K174">
        <f>SUM(C174)</f>
        <v/>
      </c>
      <c r="L174">
        <f>SUM(K174,D174)</f>
        <v/>
      </c>
      <c r="M174">
        <f>SUM(L174,E174,F174)</f>
        <v/>
      </c>
      <c r="N174">
        <f>IF(L174=0, -1, K174/L174)</f>
        <v/>
      </c>
      <c r="O174">
        <f>IF(M174=0, -1, K174/M174)</f>
        <v/>
      </c>
      <c r="P174">
        <f>IF(M174=0, -1, L174/M174)</f>
        <v/>
      </c>
    </row>
    <row r="175">
      <c r="A175" t="inlineStr">
        <is>
          <t>RC00172</t>
        </is>
      </c>
      <c r="B175" t="inlineStr">
        <is>
          <t>天津外国语大学</t>
        </is>
      </c>
      <c r="C175" t="n">
        <v>0</v>
      </c>
      <c r="D175" t="n">
        <v>3</v>
      </c>
      <c r="E175" t="n">
        <v>17</v>
      </c>
      <c r="F175" t="n">
        <v>13</v>
      </c>
      <c r="G175" t="n">
        <v>74894.07489066696</v>
      </c>
      <c r="H175" t="n">
        <v>147.4512981372613</v>
      </c>
      <c r="I175">
        <f>IF(H175=0, 0, G175/H175)</f>
        <v/>
      </c>
      <c r="J175">
        <f>RANK(I175, I$2:I$1111, 0)</f>
        <v/>
      </c>
      <c r="K175">
        <f>SUM(C175)</f>
        <v/>
      </c>
      <c r="L175">
        <f>SUM(K175,D175)</f>
        <v/>
      </c>
      <c r="M175">
        <f>SUM(L175,E175,F175)</f>
        <v/>
      </c>
      <c r="N175">
        <f>IF(L175=0, -1, K175/L175)</f>
        <v/>
      </c>
      <c r="O175">
        <f>IF(M175=0, -1, K175/M175)</f>
        <v/>
      </c>
      <c r="P175">
        <f>IF(M175=0, -1, L175/M175)</f>
        <v/>
      </c>
    </row>
    <row r="176">
      <c r="A176" t="inlineStr">
        <is>
          <t>RC00636</t>
        </is>
      </c>
      <c r="B176" t="inlineStr">
        <is>
          <t>广西财经学院</t>
        </is>
      </c>
      <c r="C176" t="n">
        <v>0</v>
      </c>
      <c r="D176" t="n">
        <v>0</v>
      </c>
      <c r="E176" t="n">
        <v>6</v>
      </c>
      <c r="F176" t="n">
        <v>23</v>
      </c>
      <c r="G176" t="n">
        <v>48131.17878553893</v>
      </c>
      <c r="H176" t="n">
        <v>142.8450263064275</v>
      </c>
      <c r="I176">
        <f>IF(H176=0, 0, G176/H176)</f>
        <v/>
      </c>
      <c r="J176">
        <f>RANK(I176, I$2:I$1111, 0)</f>
        <v/>
      </c>
      <c r="K176">
        <f>SUM(C176)</f>
        <v/>
      </c>
      <c r="L176">
        <f>SUM(K176,D176)</f>
        <v/>
      </c>
      <c r="M176">
        <f>SUM(L176,E176,F176)</f>
        <v/>
      </c>
      <c r="N176">
        <f>IF(L176=0, -1, K176/L176)</f>
        <v/>
      </c>
      <c r="O176">
        <f>IF(M176=0, -1, K176/M176)</f>
        <v/>
      </c>
      <c r="P176">
        <f>IF(M176=0, -1, L176/M176)</f>
        <v/>
      </c>
    </row>
    <row r="177">
      <c r="A177" t="inlineStr">
        <is>
          <t>RC00419</t>
        </is>
      </c>
      <c r="B177" t="inlineStr">
        <is>
          <t>安徽建筑大学</t>
        </is>
      </c>
      <c r="C177" t="n">
        <v>0</v>
      </c>
      <c r="D177" t="n">
        <v>3</v>
      </c>
      <c r="E177" t="n">
        <v>21</v>
      </c>
      <c r="F177" t="n">
        <v>23</v>
      </c>
      <c r="G177" t="n">
        <v>96377.8461445047</v>
      </c>
      <c r="H177" t="n">
        <v>231.3415957609807</v>
      </c>
      <c r="I177">
        <f>IF(H177=0, 0, G177/H177)</f>
        <v/>
      </c>
      <c r="J177">
        <f>RANK(I177, I$2:I$1111, 0)</f>
        <v/>
      </c>
      <c r="K177">
        <f>SUM(C177)</f>
        <v/>
      </c>
      <c r="L177">
        <f>SUM(K177,D177)</f>
        <v/>
      </c>
      <c r="M177">
        <f>SUM(L177,E177,F177)</f>
        <v/>
      </c>
      <c r="N177">
        <f>IF(L177=0, -1, K177/L177)</f>
        <v/>
      </c>
      <c r="O177">
        <f>IF(M177=0, -1, K177/M177)</f>
        <v/>
      </c>
      <c r="P177">
        <f>IF(M177=0, -1, L177/M177)</f>
        <v/>
      </c>
    </row>
    <row r="178">
      <c r="A178" t="inlineStr">
        <is>
          <t>RC00691</t>
        </is>
      </c>
      <c r="B178" t="inlineStr">
        <is>
          <t>贵州师范大学</t>
        </is>
      </c>
      <c r="C178" t="n">
        <v>1</v>
      </c>
      <c r="D178" t="n">
        <v>2</v>
      </c>
      <c r="E178" t="n">
        <v>33</v>
      </c>
      <c r="F178" t="n">
        <v>31</v>
      </c>
      <c r="G178" t="n">
        <v>150397.178086916</v>
      </c>
      <c r="H178" t="n">
        <v>338.4263415532002</v>
      </c>
      <c r="I178">
        <f>IF(H178=0, 0, G178/H178)</f>
        <v/>
      </c>
      <c r="J178">
        <f>RANK(I178, I$2:I$1111, 0)</f>
        <v/>
      </c>
      <c r="K178">
        <f>SUM(C178)</f>
        <v/>
      </c>
      <c r="L178">
        <f>SUM(K178,D178)</f>
        <v/>
      </c>
      <c r="M178">
        <f>SUM(L178,E178,F178)</f>
        <v/>
      </c>
      <c r="N178">
        <f>IF(L178=0, -1, K178/L178)</f>
        <v/>
      </c>
      <c r="O178">
        <f>IF(M178=0, -1, K178/M178)</f>
        <v/>
      </c>
      <c r="P178">
        <f>IF(M178=0, -1, L178/M178)</f>
        <v/>
      </c>
    </row>
    <row r="179">
      <c r="A179" t="inlineStr">
        <is>
          <t>RC00506</t>
        </is>
      </c>
      <c r="B179" t="inlineStr">
        <is>
          <t>河南工业大学</t>
        </is>
      </c>
      <c r="C179" t="n">
        <v>2</v>
      </c>
      <c r="D179" t="n">
        <v>0</v>
      </c>
      <c r="E179" t="n">
        <v>26</v>
      </c>
      <c r="F179" t="n">
        <v>30</v>
      </c>
      <c r="G179" t="n">
        <v>121325.5700204455</v>
      </c>
      <c r="H179" t="n">
        <v>289.709054966805</v>
      </c>
      <c r="I179">
        <f>IF(H179=0, 0, G179/H179)</f>
        <v/>
      </c>
      <c r="J179">
        <f>RANK(I179, I$2:I$1111, 0)</f>
        <v/>
      </c>
      <c r="K179">
        <f>SUM(C179)</f>
        <v/>
      </c>
      <c r="L179">
        <f>SUM(K179,D179)</f>
        <v/>
      </c>
      <c r="M179">
        <f>SUM(L179,E179,F179)</f>
        <v/>
      </c>
      <c r="N179">
        <f>IF(L179=0, -1, K179/L179)</f>
        <v/>
      </c>
      <c r="O179">
        <f>IF(M179=0, -1, K179/M179)</f>
        <v/>
      </c>
      <c r="P179">
        <f>IF(M179=0, -1, L179/M179)</f>
        <v/>
      </c>
    </row>
    <row r="180">
      <c r="A180" t="inlineStr">
        <is>
          <t>RC00212</t>
        </is>
      </c>
      <c r="B180" t="inlineStr">
        <is>
          <t>太原科技大学</t>
        </is>
      </c>
      <c r="C180" t="n">
        <v>0</v>
      </c>
      <c r="D180" t="n">
        <v>1</v>
      </c>
      <c r="E180" t="n">
        <v>18</v>
      </c>
      <c r="F180" t="n">
        <v>29</v>
      </c>
      <c r="G180" t="n">
        <v>88767.55414846906</v>
      </c>
      <c r="H180" t="n">
        <v>229.4486985580528</v>
      </c>
      <c r="I180">
        <f>IF(H180=0, 0, G180/H180)</f>
        <v/>
      </c>
      <c r="J180">
        <f>RANK(I180, I$2:I$1111, 0)</f>
        <v/>
      </c>
      <c r="K180">
        <f>SUM(C180)</f>
        <v/>
      </c>
      <c r="L180">
        <f>SUM(K180,D180)</f>
        <v/>
      </c>
      <c r="M180">
        <f>SUM(L180,E180,F180)</f>
        <v/>
      </c>
      <c r="N180">
        <f>IF(L180=0, -1, K180/L180)</f>
        <v/>
      </c>
      <c r="O180">
        <f>IF(M180=0, -1, K180/M180)</f>
        <v/>
      </c>
      <c r="P180">
        <f>IF(M180=0, -1, L180/M180)</f>
        <v/>
      </c>
    </row>
    <row r="181">
      <c r="A181" t="inlineStr">
        <is>
          <t>RC00538</t>
        </is>
      </c>
      <c r="B181" t="inlineStr">
        <is>
          <t>武汉工程大学</t>
        </is>
      </c>
      <c r="C181" t="n">
        <v>0</v>
      </c>
      <c r="D181" t="n">
        <v>1</v>
      </c>
      <c r="E181" t="n">
        <v>44</v>
      </c>
      <c r="F181" t="n">
        <v>20</v>
      </c>
      <c r="G181" t="n">
        <v>151083.1835550774</v>
      </c>
      <c r="H181" t="n">
        <v>323.5933056078961</v>
      </c>
      <c r="I181">
        <f>IF(H181=0, 0, G181/H181)</f>
        <v/>
      </c>
      <c r="J181">
        <f>RANK(I181, I$2:I$1111, 0)</f>
        <v/>
      </c>
      <c r="K181">
        <f>SUM(C181)</f>
        <v/>
      </c>
      <c r="L181">
        <f>SUM(K181,D181)</f>
        <v/>
      </c>
      <c r="M181">
        <f>SUM(L181,E181,F181)</f>
        <v/>
      </c>
      <c r="N181">
        <f>IF(L181=0, -1, K181/L181)</f>
        <v/>
      </c>
      <c r="O181">
        <f>IF(M181=0, -1, K181/M181)</f>
        <v/>
      </c>
      <c r="P181">
        <f>IF(M181=0, -1, L181/M181)</f>
        <v/>
      </c>
    </row>
    <row r="182">
      <c r="A182" t="inlineStr">
        <is>
          <t>RC00870</t>
        </is>
      </c>
      <c r="B182" t="inlineStr">
        <is>
          <t>宁波诺丁汉大学</t>
        </is>
      </c>
      <c r="C182" t="n">
        <v>0</v>
      </c>
      <c r="D182" t="n">
        <v>0</v>
      </c>
      <c r="E182" t="n">
        <v>5</v>
      </c>
      <c r="F182" t="n">
        <v>13</v>
      </c>
      <c r="G182" t="n">
        <v>35858.87711187759</v>
      </c>
      <c r="H182" t="n">
        <v>91.51849493939254</v>
      </c>
      <c r="I182">
        <f>IF(H182=0, 0, G182/H182)</f>
        <v/>
      </c>
      <c r="J182">
        <f>RANK(I182, I$2:I$1111, 0)</f>
        <v/>
      </c>
      <c r="K182">
        <f>SUM(C182)</f>
        <v/>
      </c>
      <c r="L182">
        <f>SUM(K182,D182)</f>
        <v/>
      </c>
      <c r="M182">
        <f>SUM(L182,E182,F182)</f>
        <v/>
      </c>
      <c r="N182">
        <f>IF(L182=0, -1, K182/L182)</f>
        <v/>
      </c>
      <c r="O182">
        <f>IF(M182=0, -1, K182/M182)</f>
        <v/>
      </c>
      <c r="P182">
        <f>IF(M182=0, -1, L182/M182)</f>
        <v/>
      </c>
    </row>
    <row r="183">
      <c r="A183" t="inlineStr">
        <is>
          <t>RC00479</t>
        </is>
      </c>
      <c r="B183" t="inlineStr">
        <is>
          <t>聊城大学</t>
        </is>
      </c>
      <c r="C183" t="n">
        <v>0</v>
      </c>
      <c r="D183" t="n">
        <v>0</v>
      </c>
      <c r="E183" t="n">
        <v>13</v>
      </c>
      <c r="F183" t="n">
        <v>36</v>
      </c>
      <c r="G183" t="n">
        <v>92245.59239573545</v>
      </c>
      <c r="H183" t="n">
        <v>244.532527274483</v>
      </c>
      <c r="I183">
        <f>IF(H183=0, 0, G183/H183)</f>
        <v/>
      </c>
      <c r="J183">
        <f>RANK(I183, I$2:I$1111, 0)</f>
        <v/>
      </c>
      <c r="K183">
        <f>SUM(C183)</f>
        <v/>
      </c>
      <c r="L183">
        <f>SUM(K183,D183)</f>
        <v/>
      </c>
      <c r="M183">
        <f>SUM(L183,E183,F183)</f>
        <v/>
      </c>
      <c r="N183">
        <f>IF(L183=0, -1, K183/L183)</f>
        <v/>
      </c>
      <c r="O183">
        <f>IF(M183=0, -1, K183/M183)</f>
        <v/>
      </c>
      <c r="P183">
        <f>IF(M183=0, -1, L183/M183)</f>
        <v/>
      </c>
    </row>
    <row r="184">
      <c r="A184" t="inlineStr">
        <is>
          <t>RC00741</t>
        </is>
      </c>
      <c r="B184" t="inlineStr">
        <is>
          <t>西安外国语大学</t>
        </is>
      </c>
      <c r="C184" t="n">
        <v>2</v>
      </c>
      <c r="D184" t="n">
        <v>4</v>
      </c>
      <c r="E184" t="n">
        <v>21</v>
      </c>
      <c r="F184" t="n">
        <v>15</v>
      </c>
      <c r="G184" t="n">
        <v>99257.08669067986</v>
      </c>
      <c r="H184" t="n">
        <v>178.4502815789161</v>
      </c>
      <c r="I184">
        <f>IF(H184=0, 0, G184/H184)</f>
        <v/>
      </c>
      <c r="J184">
        <f>RANK(I184, I$2:I$1111, 0)</f>
        <v/>
      </c>
      <c r="K184">
        <f>SUM(C184)</f>
        <v/>
      </c>
      <c r="L184">
        <f>SUM(K184,D184)</f>
        <v/>
      </c>
      <c r="M184">
        <f>SUM(L184,E184,F184)</f>
        <v/>
      </c>
      <c r="N184">
        <f>IF(L184=0, -1, K184/L184)</f>
        <v/>
      </c>
      <c r="O184">
        <f>IF(M184=0, -1, K184/M184)</f>
        <v/>
      </c>
      <c r="P184">
        <f>IF(M184=0, -1, L184/M184)</f>
        <v/>
      </c>
    </row>
    <row r="185">
      <c r="A185" t="inlineStr">
        <is>
          <t>RC00728</t>
        </is>
      </c>
      <c r="B185" t="inlineStr">
        <is>
          <t>西安理工大学</t>
        </is>
      </c>
      <c r="C185" t="n">
        <v>1</v>
      </c>
      <c r="D185" t="n">
        <v>11</v>
      </c>
      <c r="E185" t="n">
        <v>40</v>
      </c>
      <c r="F185" t="n">
        <v>9</v>
      </c>
      <c r="G185" t="n">
        <v>162187.2709565348</v>
      </c>
      <c r="H185" t="n">
        <v>299.7687716909463</v>
      </c>
      <c r="I185">
        <f>IF(H185=0, 0, G185/H185)</f>
        <v/>
      </c>
      <c r="J185">
        <f>RANK(I185, I$2:I$1111, 0)</f>
        <v/>
      </c>
      <c r="K185">
        <f>SUM(C185)</f>
        <v/>
      </c>
      <c r="L185">
        <f>SUM(K185,D185)</f>
        <v/>
      </c>
      <c r="M185">
        <f>SUM(L185,E185,F185)</f>
        <v/>
      </c>
      <c r="N185">
        <f>IF(L185=0, -1, K185/L185)</f>
        <v/>
      </c>
      <c r="O185">
        <f>IF(M185=0, -1, K185/M185)</f>
        <v/>
      </c>
      <c r="P185">
        <f>IF(M185=0, -1, L185/M185)</f>
        <v/>
      </c>
    </row>
    <row r="186">
      <c r="A186" t="inlineStr">
        <is>
          <t>RC00664</t>
        </is>
      </c>
      <c r="B186" t="inlineStr">
        <is>
          <t>西华大学</t>
        </is>
      </c>
      <c r="C186" t="n">
        <v>0</v>
      </c>
      <c r="D186" t="n">
        <v>3</v>
      </c>
      <c r="E186" t="n">
        <v>34</v>
      </c>
      <c r="F186" t="n">
        <v>34</v>
      </c>
      <c r="G186" t="n">
        <v>145895.9737779152</v>
      </c>
      <c r="H186" t="n">
        <v>347.0501878351518</v>
      </c>
      <c r="I186">
        <f>IF(H186=0, 0, G186/H186)</f>
        <v/>
      </c>
      <c r="J186">
        <f>RANK(I186, I$2:I$1111, 0)</f>
        <v/>
      </c>
      <c r="K186">
        <f>SUM(C186)</f>
        <v/>
      </c>
      <c r="L186">
        <f>SUM(K186,D186)</f>
        <v/>
      </c>
      <c r="M186">
        <f>SUM(L186,E186,F186)</f>
        <v/>
      </c>
      <c r="N186">
        <f>IF(L186=0, -1, K186/L186)</f>
        <v/>
      </c>
      <c r="O186">
        <f>IF(M186=0, -1, K186/M186)</f>
        <v/>
      </c>
      <c r="P186">
        <f>IF(M186=0, -1, L186/M186)</f>
        <v/>
      </c>
    </row>
    <row r="187">
      <c r="A187" t="inlineStr">
        <is>
          <t>RC00736</t>
        </is>
      </c>
      <c r="B187" t="inlineStr">
        <is>
          <t>延安大学</t>
        </is>
      </c>
      <c r="C187" t="n">
        <v>0</v>
      </c>
      <c r="D187" t="n">
        <v>0</v>
      </c>
      <c r="E187" t="n">
        <v>14</v>
      </c>
      <c r="F187" t="n">
        <v>26</v>
      </c>
      <c r="G187" t="n">
        <v>78250.52520339291</v>
      </c>
      <c r="H187" t="n">
        <v>208.6259813939201</v>
      </c>
      <c r="I187">
        <f>IF(H187=0, 0, G187/H187)</f>
        <v/>
      </c>
      <c r="J187">
        <f>RANK(I187, I$2:I$1111, 0)</f>
        <v/>
      </c>
      <c r="K187">
        <f>SUM(C187)</f>
        <v/>
      </c>
      <c r="L187">
        <f>SUM(K187,D187)</f>
        <v/>
      </c>
      <c r="M187">
        <f>SUM(L187,E187,F187)</f>
        <v/>
      </c>
      <c r="N187">
        <f>IF(L187=0, -1, K187/L187)</f>
        <v/>
      </c>
      <c r="O187">
        <f>IF(M187=0, -1, K187/M187)</f>
        <v/>
      </c>
      <c r="P187">
        <f>IF(M187=0, -1, L187/M187)</f>
        <v/>
      </c>
    </row>
    <row r="188">
      <c r="A188" t="inlineStr">
        <is>
          <t>RC00181</t>
        </is>
      </c>
      <c r="B188" t="inlineStr">
        <is>
          <t>河北地质大学</t>
        </is>
      </c>
      <c r="C188" t="n">
        <v>3</v>
      </c>
      <c r="D188" t="n">
        <v>0</v>
      </c>
      <c r="E188" t="n">
        <v>11</v>
      </c>
      <c r="F188" t="n">
        <v>19</v>
      </c>
      <c r="G188" t="n">
        <v>63052.54871490728</v>
      </c>
      <c r="H188" t="n">
        <v>158.6103654146639</v>
      </c>
      <c r="I188">
        <f>IF(H188=0, 0, G188/H188)</f>
        <v/>
      </c>
      <c r="J188">
        <f>RANK(I188, I$2:I$1111, 0)</f>
        <v/>
      </c>
      <c r="K188">
        <f>SUM(C188)</f>
        <v/>
      </c>
      <c r="L188">
        <f>SUM(K188,D188)</f>
        <v/>
      </c>
      <c r="M188">
        <f>SUM(L188,E188,F188)</f>
        <v/>
      </c>
      <c r="N188">
        <f>IF(L188=0, -1, K188/L188)</f>
        <v/>
      </c>
      <c r="O188">
        <f>IF(M188=0, -1, K188/M188)</f>
        <v/>
      </c>
      <c r="P188">
        <f>IF(M188=0, -1, L188/M188)</f>
        <v/>
      </c>
    </row>
    <row r="189">
      <c r="A189" t="inlineStr">
        <is>
          <t>RC00737</t>
        </is>
      </c>
      <c r="B189" t="inlineStr">
        <is>
          <t>陕西理工大学</t>
        </is>
      </c>
      <c r="C189" t="n">
        <v>0</v>
      </c>
      <c r="D189" t="n">
        <v>0</v>
      </c>
      <c r="E189" t="n">
        <v>5</v>
      </c>
      <c r="F189" t="n">
        <v>31</v>
      </c>
      <c r="G189" t="n">
        <v>66745.75915690923</v>
      </c>
      <c r="H189" t="n">
        <v>190.2839422305102</v>
      </c>
      <c r="I189">
        <f>IF(H189=0, 0, G189/H189)</f>
        <v/>
      </c>
      <c r="J189">
        <f>RANK(I189, I$2:I$1111, 0)</f>
        <v/>
      </c>
      <c r="K189">
        <f>SUM(C189)</f>
        <v/>
      </c>
      <c r="L189">
        <f>SUM(K189,D189)</f>
        <v/>
      </c>
      <c r="M189">
        <f>SUM(L189,E189,F189)</f>
        <v/>
      </c>
      <c r="N189">
        <f>IF(L189=0, -1, K189/L189)</f>
        <v/>
      </c>
      <c r="O189">
        <f>IF(M189=0, -1, K189/M189)</f>
        <v/>
      </c>
      <c r="P189">
        <f>IF(M189=0, -1, L189/M189)</f>
        <v/>
      </c>
    </row>
    <row r="190">
      <c r="A190" t="inlineStr">
        <is>
          <t>RC00217</t>
        </is>
      </c>
      <c r="B190" t="inlineStr">
        <is>
          <t>山西师范大学</t>
        </is>
      </c>
      <c r="C190" t="n">
        <v>0</v>
      </c>
      <c r="D190" t="n">
        <v>5</v>
      </c>
      <c r="E190" t="n">
        <v>24</v>
      </c>
      <c r="F190" t="n">
        <v>21</v>
      </c>
      <c r="G190" t="n">
        <v>109600.7775385611</v>
      </c>
      <c r="H190" t="n">
        <v>238.8058863960603</v>
      </c>
      <c r="I190">
        <f>IF(H190=0, 0, G190/H190)</f>
        <v/>
      </c>
      <c r="J190">
        <f>RANK(I190, I$2:I$1111, 0)</f>
        <v/>
      </c>
      <c r="K190">
        <f>SUM(C190)</f>
        <v/>
      </c>
      <c r="L190">
        <f>SUM(K190,D190)</f>
        <v/>
      </c>
      <c r="M190">
        <f>SUM(L190,E190,F190)</f>
        <v/>
      </c>
      <c r="N190">
        <f>IF(L190=0, -1, K190/L190)</f>
        <v/>
      </c>
      <c r="O190">
        <f>IF(M190=0, -1, K190/M190)</f>
        <v/>
      </c>
      <c r="P190">
        <f>IF(M190=0, -1, L190/M190)</f>
        <v/>
      </c>
    </row>
    <row r="191">
      <c r="A191" t="inlineStr">
        <is>
          <t>RC00403</t>
        </is>
      </c>
      <c r="B191" t="inlineStr">
        <is>
          <t>安徽农业大学</t>
        </is>
      </c>
      <c r="C191" t="n">
        <v>0</v>
      </c>
      <c r="D191" t="n">
        <v>1</v>
      </c>
      <c r="E191" t="n">
        <v>27</v>
      </c>
      <c r="F191" t="n">
        <v>23</v>
      </c>
      <c r="G191" t="n">
        <v>107097.787537386</v>
      </c>
      <c r="H191" t="n">
        <v>239.3579956879049</v>
      </c>
      <c r="I191">
        <f>IF(H191=0, 0, G191/H191)</f>
        <v/>
      </c>
      <c r="J191">
        <f>RANK(I191, I$2:I$1111, 0)</f>
        <v/>
      </c>
      <c r="K191">
        <f>SUM(C191)</f>
        <v/>
      </c>
      <c r="L191">
        <f>SUM(K191,D191)</f>
        <v/>
      </c>
      <c r="M191">
        <f>SUM(L191,E191,F191)</f>
        <v/>
      </c>
      <c r="N191">
        <f>IF(L191=0, -1, K191/L191)</f>
        <v/>
      </c>
      <c r="O191">
        <f>IF(M191=0, -1, K191/M191)</f>
        <v/>
      </c>
      <c r="P191">
        <f>IF(M191=0, -1, L191/M191)</f>
        <v/>
      </c>
    </row>
    <row r="192">
      <c r="A192" t="inlineStr">
        <is>
          <t>RC00771</t>
        </is>
      </c>
      <c r="B192" t="inlineStr">
        <is>
          <t>青海师范大学</t>
        </is>
      </c>
      <c r="C192" t="n">
        <v>0</v>
      </c>
      <c r="D192" t="n">
        <v>1</v>
      </c>
      <c r="E192" t="n">
        <v>17</v>
      </c>
      <c r="F192" t="n">
        <v>18</v>
      </c>
      <c r="G192" t="n">
        <v>77788.23240728611</v>
      </c>
      <c r="H192" t="n">
        <v>183.5208907464597</v>
      </c>
      <c r="I192">
        <f>IF(H192=0, 0, G192/H192)</f>
        <v/>
      </c>
      <c r="J192">
        <f>RANK(I192, I$2:I$1111, 0)</f>
        <v/>
      </c>
      <c r="K192">
        <f>SUM(C192)</f>
        <v/>
      </c>
      <c r="L192">
        <f>SUM(K192,D192)</f>
        <v/>
      </c>
      <c r="M192">
        <f>SUM(L192,E192,F192)</f>
        <v/>
      </c>
      <c r="N192">
        <f>IF(L192=0, -1, K192/L192)</f>
        <v/>
      </c>
      <c r="O192">
        <f>IF(M192=0, -1, K192/M192)</f>
        <v/>
      </c>
      <c r="P192">
        <f>IF(M192=0, -1, L192/M192)</f>
        <v/>
      </c>
    </row>
    <row r="193">
      <c r="A193" t="inlineStr">
        <is>
          <t>RC00329</t>
        </is>
      </c>
      <c r="B193" t="inlineStr">
        <is>
          <t>上海电力大学</t>
        </is>
      </c>
      <c r="C193" t="n">
        <v>1</v>
      </c>
      <c r="D193" t="n">
        <v>1</v>
      </c>
      <c r="E193" t="n">
        <v>20</v>
      </c>
      <c r="F193" t="n">
        <v>8</v>
      </c>
      <c r="G193" t="n">
        <v>69901.32608198584</v>
      </c>
      <c r="H193" t="n">
        <v>147.9893370174962</v>
      </c>
      <c r="I193">
        <f>IF(H193=0, 0, G193/H193)</f>
        <v/>
      </c>
      <c r="J193">
        <f>RANK(I193, I$2:I$1111, 0)</f>
        <v/>
      </c>
      <c r="K193">
        <f>SUM(C193)</f>
        <v/>
      </c>
      <c r="L193">
        <f>SUM(K193,D193)</f>
        <v/>
      </c>
      <c r="M193">
        <f>SUM(L193,E193,F193)</f>
        <v/>
      </c>
      <c r="N193">
        <f>IF(L193=0, -1, K193/L193)</f>
        <v/>
      </c>
      <c r="O193">
        <f>IF(M193=0, -1, K193/M193)</f>
        <v/>
      </c>
      <c r="P193">
        <f>IF(M193=0, -1, L193/M193)</f>
        <v/>
      </c>
    </row>
    <row r="194">
      <c r="A194" t="inlineStr">
        <is>
          <t>RC00523</t>
        </is>
      </c>
      <c r="B194" t="inlineStr">
        <is>
          <t>郑州航空工业管理学院</t>
        </is>
      </c>
      <c r="C194" t="n">
        <v>1</v>
      </c>
      <c r="D194" t="n">
        <v>2</v>
      </c>
      <c r="E194" t="n">
        <v>14</v>
      </c>
      <c r="F194" t="n">
        <v>28</v>
      </c>
      <c r="G194" t="n">
        <v>90917.55906592787</v>
      </c>
      <c r="H194" t="n">
        <v>219.387994172554</v>
      </c>
      <c r="I194">
        <f>IF(H194=0, 0, G194/H194)</f>
        <v/>
      </c>
      <c r="J194">
        <f>RANK(I194, I$2:I$1111, 0)</f>
        <v/>
      </c>
      <c r="K194">
        <f>SUM(C194)</f>
        <v/>
      </c>
      <c r="L194">
        <f>SUM(K194,D194)</f>
        <v/>
      </c>
      <c r="M194">
        <f>SUM(L194,E194,F194)</f>
        <v/>
      </c>
      <c r="N194">
        <f>IF(L194=0, -1, K194/L194)</f>
        <v/>
      </c>
      <c r="O194">
        <f>IF(M194=0, -1, K194/M194)</f>
        <v/>
      </c>
      <c r="P194">
        <f>IF(M194=0, -1, L194/M194)</f>
        <v/>
      </c>
    </row>
    <row r="195">
      <c r="A195" t="inlineStr">
        <is>
          <t>RC00140</t>
        </is>
      </c>
      <c r="B195" t="inlineStr">
        <is>
          <t>对外经济贸易大学</t>
        </is>
      </c>
      <c r="C195" t="n">
        <v>17</v>
      </c>
      <c r="D195" t="n">
        <v>14</v>
      </c>
      <c r="E195" t="n">
        <v>19</v>
      </c>
      <c r="F195" t="n">
        <v>2</v>
      </c>
      <c r="G195" t="n">
        <v>189530.2706137382</v>
      </c>
      <c r="H195" t="n">
        <v>234.183106068189</v>
      </c>
      <c r="I195">
        <f>IF(H195=0, 0, G195/H195)</f>
        <v/>
      </c>
      <c r="J195">
        <f>RANK(I195, I$2:I$1111, 0)</f>
        <v/>
      </c>
      <c r="K195">
        <f>SUM(C195)</f>
        <v/>
      </c>
      <c r="L195">
        <f>SUM(K195,D195)</f>
        <v/>
      </c>
      <c r="M195">
        <f>SUM(L195,E195,F195)</f>
        <v/>
      </c>
      <c r="N195">
        <f>IF(L195=0, -1, K195/L195)</f>
        <v/>
      </c>
      <c r="O195">
        <f>IF(M195=0, -1, K195/M195)</f>
        <v/>
      </c>
      <c r="P195">
        <f>IF(M195=0, -1, L195/M195)</f>
        <v/>
      </c>
    </row>
    <row r="196">
      <c r="A196" t="inlineStr">
        <is>
          <t>RC00055</t>
        </is>
      </c>
      <c r="B196" t="inlineStr">
        <is>
          <t>北京工业大学</t>
        </is>
      </c>
      <c r="C196" t="n">
        <v>1</v>
      </c>
      <c r="D196" t="n">
        <v>30</v>
      </c>
      <c r="E196" t="n">
        <v>23</v>
      </c>
      <c r="F196" t="n">
        <v>5</v>
      </c>
      <c r="G196" t="n">
        <v>185841.3798000751</v>
      </c>
      <c r="H196" t="n">
        <v>286.3996842245381</v>
      </c>
      <c r="I196">
        <f>IF(H196=0, 0, G196/H196)</f>
        <v/>
      </c>
      <c r="J196">
        <f>RANK(I196, I$2:I$1111, 0)</f>
        <v/>
      </c>
      <c r="K196">
        <f>SUM(C196)</f>
        <v/>
      </c>
      <c r="L196">
        <f>SUM(K196,D196)</f>
        <v/>
      </c>
      <c r="M196">
        <f>SUM(L196,E196,F196)</f>
        <v/>
      </c>
      <c r="N196">
        <f>IF(L196=0, -1, K196/L196)</f>
        <v/>
      </c>
      <c r="O196">
        <f>IF(M196=0, -1, K196/M196)</f>
        <v/>
      </c>
      <c r="P196">
        <f>IF(M196=0, -1, L196/M196)</f>
        <v/>
      </c>
    </row>
    <row r="197">
      <c r="A197" t="inlineStr">
        <is>
          <t>RC00651</t>
        </is>
      </c>
      <c r="B197" t="inlineStr">
        <is>
          <t>西南政法大学</t>
        </is>
      </c>
      <c r="C197" t="n">
        <v>3</v>
      </c>
      <c r="D197" t="n">
        <v>5</v>
      </c>
      <c r="E197" t="n">
        <v>15</v>
      </c>
      <c r="F197" t="n">
        <v>3</v>
      </c>
      <c r="G197" t="n">
        <v>76814.91999597335</v>
      </c>
      <c r="H197" t="n">
        <v>120.1811652151</v>
      </c>
      <c r="I197">
        <f>IF(H197=0, 0, G197/H197)</f>
        <v/>
      </c>
      <c r="J197">
        <f>RANK(I197, I$2:I$1111, 0)</f>
        <v/>
      </c>
      <c r="K197">
        <f>SUM(C197)</f>
        <v/>
      </c>
      <c r="L197">
        <f>SUM(K197,D197)</f>
        <v/>
      </c>
      <c r="M197">
        <f>SUM(L197,E197,F197)</f>
        <v/>
      </c>
      <c r="N197">
        <f>IF(L197=0, -1, K197/L197)</f>
        <v/>
      </c>
      <c r="O197">
        <f>IF(M197=0, -1, K197/M197)</f>
        <v/>
      </c>
      <c r="P197">
        <f>IF(M197=0, -1, L197/M197)</f>
        <v/>
      </c>
    </row>
    <row r="198">
      <c r="A198" t="inlineStr">
        <is>
          <t>RC00366</t>
        </is>
      </c>
      <c r="B198" t="inlineStr">
        <is>
          <t>南京信息工程大学</t>
        </is>
      </c>
      <c r="C198" t="n">
        <v>2</v>
      </c>
      <c r="D198" t="n">
        <v>25</v>
      </c>
      <c r="E198" t="n">
        <v>38</v>
      </c>
      <c r="F198" t="n">
        <v>12</v>
      </c>
      <c r="G198" t="n">
        <v>215931.6179739399</v>
      </c>
      <c r="H198" t="n">
        <v>353.3627087962303</v>
      </c>
      <c r="I198">
        <f>IF(H198=0, 0, G198/H198)</f>
        <v/>
      </c>
      <c r="J198">
        <f>RANK(I198, I$2:I$1111, 0)</f>
        <v/>
      </c>
      <c r="K198">
        <f>SUM(C198)</f>
        <v/>
      </c>
      <c r="L198">
        <f>SUM(K198,D198)</f>
        <v/>
      </c>
      <c r="M198">
        <f>SUM(L198,E198,F198)</f>
        <v/>
      </c>
      <c r="N198">
        <f>IF(L198=0, -1, K198/L198)</f>
        <v/>
      </c>
      <c r="O198">
        <f>IF(M198=0, -1, K198/M198)</f>
        <v/>
      </c>
      <c r="P198">
        <f>IF(M198=0, -1, L198/M198)</f>
        <v/>
      </c>
    </row>
    <row r="199">
      <c r="A199" t="inlineStr">
        <is>
          <t>RC00727</t>
        </is>
      </c>
      <c r="B199" t="inlineStr">
        <is>
          <t>长安大学</t>
        </is>
      </c>
      <c r="C199" t="n">
        <v>4</v>
      </c>
      <c r="D199" t="n">
        <v>23</v>
      </c>
      <c r="E199" t="n">
        <v>47</v>
      </c>
      <c r="F199" t="n">
        <v>6</v>
      </c>
      <c r="G199" t="n">
        <v>227075.3169809527</v>
      </c>
      <c r="H199" t="n">
        <v>370.1024395110892</v>
      </c>
      <c r="I199">
        <f>IF(H199=0, 0, G199/H199)</f>
        <v/>
      </c>
      <c r="J199">
        <f>RANK(I199, I$2:I$1111, 0)</f>
        <v/>
      </c>
      <c r="K199">
        <f>SUM(C199)</f>
        <v/>
      </c>
      <c r="L199">
        <f>SUM(K199,D199)</f>
        <v/>
      </c>
      <c r="M199">
        <f>SUM(L199,E199,F199)</f>
        <v/>
      </c>
      <c r="N199">
        <f>IF(L199=0, -1, K199/L199)</f>
        <v/>
      </c>
      <c r="O199">
        <f>IF(M199=0, -1, K199/M199)</f>
        <v/>
      </c>
      <c r="P199">
        <f>IF(M199=0, -1, L199/M199)</f>
        <v/>
      </c>
    </row>
    <row r="200">
      <c r="A200" t="inlineStr">
        <is>
          <t>RC00311</t>
        </is>
      </c>
      <c r="B200" t="inlineStr">
        <is>
          <t>东北林业大学</t>
        </is>
      </c>
      <c r="C200" t="n">
        <v>4</v>
      </c>
      <c r="D200" t="n">
        <v>3</v>
      </c>
      <c r="E200" t="n">
        <v>44</v>
      </c>
      <c r="F200" t="n">
        <v>9</v>
      </c>
      <c r="G200" t="n">
        <v>142333.8210761071</v>
      </c>
      <c r="H200" t="n">
        <v>279.7373989782675</v>
      </c>
      <c r="I200">
        <f>IF(H200=0, 0, G200/H200)</f>
        <v/>
      </c>
      <c r="J200">
        <f>RANK(I200, I$2:I$1111, 0)</f>
        <v/>
      </c>
      <c r="K200">
        <f>SUM(C200)</f>
        <v/>
      </c>
      <c r="L200">
        <f>SUM(K200,D200)</f>
        <v/>
      </c>
      <c r="M200">
        <f>SUM(L200,E200,F200)</f>
        <v/>
      </c>
      <c r="N200">
        <f>IF(L200=0, -1, K200/L200)</f>
        <v/>
      </c>
      <c r="O200">
        <f>IF(M200=0, -1, K200/M200)</f>
        <v/>
      </c>
      <c r="P200">
        <f>IF(M200=0, -1, L200/M200)</f>
        <v/>
      </c>
    </row>
    <row r="201">
      <c r="A201" t="inlineStr">
        <is>
          <t>RC00662</t>
        </is>
      </c>
      <c r="B201" t="inlineStr">
        <is>
          <t>成都信息工程大学</t>
        </is>
      </c>
      <c r="C201" t="n">
        <v>1</v>
      </c>
      <c r="D201" t="n">
        <v>2</v>
      </c>
      <c r="E201" t="n">
        <v>30</v>
      </c>
      <c r="F201" t="n">
        <v>17</v>
      </c>
      <c r="G201" t="n">
        <v>112225.0269447882</v>
      </c>
      <c r="H201" t="n">
        <v>244.8687623644791</v>
      </c>
      <c r="I201">
        <f>IF(H201=0, 0, G201/H201)</f>
        <v/>
      </c>
      <c r="J201">
        <f>RANK(I201, I$2:I$1111, 0)</f>
        <v/>
      </c>
      <c r="K201">
        <f>SUM(C201)</f>
        <v/>
      </c>
      <c r="L201">
        <f>SUM(K201,D201)</f>
        <v/>
      </c>
      <c r="M201">
        <f>SUM(L201,E201,F201)</f>
        <v/>
      </c>
      <c r="N201">
        <f>IF(L201=0, -1, K201/L201)</f>
        <v/>
      </c>
      <c r="O201">
        <f>IF(M201=0, -1, K201/M201)</f>
        <v/>
      </c>
      <c r="P201">
        <f>IF(M201=0, -1, L201/M201)</f>
        <v/>
      </c>
    </row>
    <row r="202">
      <c r="A202" t="inlineStr">
        <is>
          <t>RC00284</t>
        </is>
      </c>
      <c r="B202" t="inlineStr">
        <is>
          <t>长春工业大学</t>
        </is>
      </c>
      <c r="C202" t="n">
        <v>0</v>
      </c>
      <c r="D202" t="n">
        <v>0</v>
      </c>
      <c r="E202" t="n">
        <v>19</v>
      </c>
      <c r="F202" t="n">
        <v>26</v>
      </c>
      <c r="G202" t="n">
        <v>90596.4547127655</v>
      </c>
      <c r="H202" t="n">
        <v>229.4685918440562</v>
      </c>
      <c r="I202">
        <f>IF(H202=0, 0, G202/H202)</f>
        <v/>
      </c>
      <c r="J202">
        <f>RANK(I202, I$2:I$1111, 0)</f>
        <v/>
      </c>
      <c r="K202">
        <f>SUM(C202)</f>
        <v/>
      </c>
      <c r="L202">
        <f>SUM(K202,D202)</f>
        <v/>
      </c>
      <c r="M202">
        <f>SUM(L202,E202,F202)</f>
        <v/>
      </c>
      <c r="N202">
        <f>IF(L202=0, -1, K202/L202)</f>
        <v/>
      </c>
      <c r="O202">
        <f>IF(M202=0, -1, K202/M202)</f>
        <v/>
      </c>
      <c r="P202">
        <f>IF(M202=0, -1, L202/M202)</f>
        <v/>
      </c>
    </row>
    <row r="203">
      <c r="A203" t="inlineStr">
        <is>
          <t>RC00441</t>
        </is>
      </c>
      <c r="B203" t="inlineStr">
        <is>
          <t>华东交通大学</t>
        </is>
      </c>
      <c r="C203" t="n">
        <v>1</v>
      </c>
      <c r="D203" t="n">
        <v>5</v>
      </c>
      <c r="E203" t="n">
        <v>34</v>
      </c>
      <c r="F203" t="n">
        <v>15</v>
      </c>
      <c r="G203" t="n">
        <v>133818.6284806281</v>
      </c>
      <c r="H203" t="n">
        <v>271.3720142507236</v>
      </c>
      <c r="I203">
        <f>IF(H203=0, 0, G203/H203)</f>
        <v/>
      </c>
      <c r="J203">
        <f>RANK(I203, I$2:I$1111, 0)</f>
        <v/>
      </c>
      <c r="K203">
        <f>SUM(C203)</f>
        <v/>
      </c>
      <c r="L203">
        <f>SUM(K203,D203)</f>
        <v/>
      </c>
      <c r="M203">
        <f>SUM(L203,E203,F203)</f>
        <v/>
      </c>
      <c r="N203">
        <f>IF(L203=0, -1, K203/L203)</f>
        <v/>
      </c>
      <c r="O203">
        <f>IF(M203=0, -1, K203/M203)</f>
        <v/>
      </c>
      <c r="P203">
        <f>IF(M203=0, -1, L203/M203)</f>
        <v/>
      </c>
    </row>
    <row r="204">
      <c r="A204" t="inlineStr">
        <is>
          <t>RC00205</t>
        </is>
      </c>
      <c r="B204" t="inlineStr">
        <is>
          <t>河北金融学院</t>
        </is>
      </c>
      <c r="C204" t="n">
        <v>0</v>
      </c>
      <c r="D204" t="n">
        <v>0</v>
      </c>
      <c r="E204" t="n">
        <v>4</v>
      </c>
      <c r="F204" t="n">
        <v>15</v>
      </c>
      <c r="G204" t="n">
        <v>30059.05956425893</v>
      </c>
      <c r="H204" t="n">
        <v>89.19950926513097</v>
      </c>
      <c r="I204">
        <f>IF(H204=0, 0, G204/H204)</f>
        <v/>
      </c>
      <c r="J204">
        <f>RANK(I204, I$2:I$1111, 0)</f>
        <v/>
      </c>
      <c r="K204">
        <f>SUM(C204)</f>
        <v/>
      </c>
      <c r="L204">
        <f>SUM(K204,D204)</f>
        <v/>
      </c>
      <c r="M204">
        <f>SUM(L204,E204,F204)</f>
        <v/>
      </c>
      <c r="N204">
        <f>IF(L204=0, -1, K204/L204)</f>
        <v/>
      </c>
      <c r="O204">
        <f>IF(M204=0, -1, K204/M204)</f>
        <v/>
      </c>
      <c r="P204">
        <f>IF(M204=0, -1, L204/M204)</f>
        <v/>
      </c>
    </row>
    <row r="205">
      <c r="A205" t="inlineStr">
        <is>
          <t>RC00337</t>
        </is>
      </c>
      <c r="B205" t="inlineStr">
        <is>
          <t>上海海关学院</t>
        </is>
      </c>
      <c r="C205" t="n">
        <v>0</v>
      </c>
      <c r="D205" t="n">
        <v>0</v>
      </c>
      <c r="E205" t="n">
        <v>4</v>
      </c>
      <c r="F205" t="n">
        <v>2</v>
      </c>
      <c r="G205" t="n">
        <v>13652.93282052772</v>
      </c>
      <c r="H205" t="n">
        <v>29.8934317104815</v>
      </c>
      <c r="I205">
        <f>IF(H205=0, 0, G205/H205)</f>
        <v/>
      </c>
      <c r="J205">
        <f>RANK(I205, I$2:I$1111, 0)</f>
        <v/>
      </c>
      <c r="K205">
        <f>SUM(C205)</f>
        <v/>
      </c>
      <c r="L205">
        <f>SUM(K205,D205)</f>
        <v/>
      </c>
      <c r="M205">
        <f>SUM(L205,E205,F205)</f>
        <v/>
      </c>
      <c r="N205">
        <f>IF(L205=0, -1, K205/L205)</f>
        <v/>
      </c>
      <c r="O205">
        <f>IF(M205=0, -1, K205/M205)</f>
        <v/>
      </c>
      <c r="P205">
        <f>IF(M205=0, -1, L205/M205)</f>
        <v/>
      </c>
    </row>
    <row r="206">
      <c r="A206" t="inlineStr">
        <is>
          <t>RC00186</t>
        </is>
      </c>
      <c r="B206" t="inlineStr">
        <is>
          <t>河北农业大学</t>
        </is>
      </c>
      <c r="C206" t="n">
        <v>0</v>
      </c>
      <c r="D206" t="n">
        <v>0</v>
      </c>
      <c r="E206" t="n">
        <v>16</v>
      </c>
      <c r="F206" t="n">
        <v>40</v>
      </c>
      <c r="G206" t="n">
        <v>108264.6867554812</v>
      </c>
      <c r="H206" t="n">
        <v>262.5824780647102</v>
      </c>
      <c r="I206">
        <f>IF(H206=0, 0, G206/H206)</f>
        <v/>
      </c>
      <c r="J206">
        <f>RANK(I206, I$2:I$1111, 0)</f>
        <v/>
      </c>
      <c r="K206">
        <f>SUM(C206)</f>
        <v/>
      </c>
      <c r="L206">
        <f>SUM(K206,D206)</f>
        <v/>
      </c>
      <c r="M206">
        <f>SUM(L206,E206,F206)</f>
        <v/>
      </c>
      <c r="N206">
        <f>IF(L206=0, -1, K206/L206)</f>
        <v/>
      </c>
      <c r="O206">
        <f>IF(M206=0, -1, K206/M206)</f>
        <v/>
      </c>
      <c r="P206">
        <f>IF(M206=0, -1, L206/M206)</f>
        <v/>
      </c>
    </row>
    <row r="207">
      <c r="A207" t="inlineStr">
        <is>
          <t>RC00213</t>
        </is>
      </c>
      <c r="B207" t="inlineStr">
        <is>
          <t>中北大学</t>
        </is>
      </c>
      <c r="C207" t="n">
        <v>2</v>
      </c>
      <c r="D207" t="n">
        <v>7</v>
      </c>
      <c r="E207" t="n">
        <v>43</v>
      </c>
      <c r="F207" t="n">
        <v>15</v>
      </c>
      <c r="G207" t="n">
        <v>151325.2532999056</v>
      </c>
      <c r="H207" t="n">
        <v>300.0270080458781</v>
      </c>
      <c r="I207">
        <f>IF(H207=0, 0, G207/H207)</f>
        <v/>
      </c>
      <c r="J207">
        <f>RANK(I207, I$2:I$1111, 0)</f>
        <v/>
      </c>
      <c r="K207">
        <f>SUM(C207)</f>
        <v/>
      </c>
      <c r="L207">
        <f>SUM(K207,D207)</f>
        <v/>
      </c>
      <c r="M207">
        <f>SUM(L207,E207,F207)</f>
        <v/>
      </c>
      <c r="N207">
        <f>IF(L207=0, -1, K207/L207)</f>
        <v/>
      </c>
      <c r="O207">
        <f>IF(M207=0, -1, K207/M207)</f>
        <v/>
      </c>
      <c r="P207">
        <f>IF(M207=0, -1, L207/M207)</f>
        <v/>
      </c>
    </row>
    <row r="208">
      <c r="A208" t="inlineStr">
        <is>
          <t>RC00343</t>
        </is>
      </c>
      <c r="B208" t="inlineStr">
        <is>
          <t>上海电机学院</t>
        </is>
      </c>
      <c r="C208" t="n">
        <v>1</v>
      </c>
      <c r="D208" t="n">
        <v>0</v>
      </c>
      <c r="E208" t="n">
        <v>15</v>
      </c>
      <c r="F208" t="n">
        <v>15</v>
      </c>
      <c r="G208" t="n">
        <v>65342.71782635882</v>
      </c>
      <c r="H208" t="n">
        <v>152.5098039932245</v>
      </c>
      <c r="I208">
        <f>IF(H208=0, 0, G208/H208)</f>
        <v/>
      </c>
      <c r="J208">
        <f>RANK(I208, I$2:I$1111, 0)</f>
        <v/>
      </c>
      <c r="K208">
        <f>SUM(C208)</f>
        <v/>
      </c>
      <c r="L208">
        <f>SUM(K208,D208)</f>
        <v/>
      </c>
      <c r="M208">
        <f>SUM(L208,E208,F208)</f>
        <v/>
      </c>
      <c r="N208">
        <f>IF(L208=0, -1, K208/L208)</f>
        <v/>
      </c>
      <c r="O208">
        <f>IF(M208=0, -1, K208/M208)</f>
        <v/>
      </c>
      <c r="P208">
        <f>IF(M208=0, -1, L208/M208)</f>
        <v/>
      </c>
    </row>
    <row r="209">
      <c r="A209" t="inlineStr">
        <is>
          <t>RC00183</t>
        </is>
      </c>
      <c r="B209" t="inlineStr">
        <is>
          <t>华北理工大学</t>
        </is>
      </c>
      <c r="C209" t="n">
        <v>0</v>
      </c>
      <c r="D209" t="n">
        <v>0</v>
      </c>
      <c r="E209" t="n">
        <v>15</v>
      </c>
      <c r="F209" t="n">
        <v>47</v>
      </c>
      <c r="G209" t="n">
        <v>113537.0936614422</v>
      </c>
      <c r="H209" t="n">
        <v>297.3198657747224</v>
      </c>
      <c r="I209">
        <f>IF(H209=0, 0, G209/H209)</f>
        <v/>
      </c>
      <c r="J209">
        <f>RANK(I209, I$2:I$1111, 0)</f>
        <v/>
      </c>
      <c r="K209">
        <f>SUM(C209)</f>
        <v/>
      </c>
      <c r="L209">
        <f>SUM(K209,D209)</f>
        <v/>
      </c>
      <c r="M209">
        <f>SUM(L209,E209,F209)</f>
        <v/>
      </c>
      <c r="N209">
        <f>IF(L209=0, -1, K209/L209)</f>
        <v/>
      </c>
      <c r="O209">
        <f>IF(M209=0, -1, K209/M209)</f>
        <v/>
      </c>
      <c r="P209">
        <f>IF(M209=0, -1, L209/M209)</f>
        <v/>
      </c>
    </row>
    <row r="210">
      <c r="A210" t="inlineStr">
        <is>
          <t>RC00369</t>
        </is>
      </c>
      <c r="B210" t="inlineStr">
        <is>
          <t>江苏理工学院</t>
        </is>
      </c>
      <c r="C210" t="n">
        <v>0</v>
      </c>
      <c r="D210" t="n">
        <v>2</v>
      </c>
      <c r="E210" t="n">
        <v>19</v>
      </c>
      <c r="F210" t="n">
        <v>29</v>
      </c>
      <c r="G210" t="n">
        <v>99261.04415786742</v>
      </c>
      <c r="H210" t="n">
        <v>251.9933864482143</v>
      </c>
      <c r="I210">
        <f>IF(H210=0, 0, G210/H210)</f>
        <v/>
      </c>
      <c r="J210">
        <f>RANK(I210, I$2:I$1111, 0)</f>
        <v/>
      </c>
      <c r="K210">
        <f>SUM(C210)</f>
        <v/>
      </c>
      <c r="L210">
        <f>SUM(K210,D210)</f>
        <v/>
      </c>
      <c r="M210">
        <f>SUM(L210,E210,F210)</f>
        <v/>
      </c>
      <c r="N210">
        <f>IF(L210=0, -1, K210/L210)</f>
        <v/>
      </c>
      <c r="O210">
        <f>IF(M210=0, -1, K210/M210)</f>
        <v/>
      </c>
      <c r="P210">
        <f>IF(M210=0, -1, L210/M210)</f>
        <v/>
      </c>
    </row>
    <row r="211">
      <c r="A211" t="inlineStr">
        <is>
          <t>RC00361</t>
        </is>
      </c>
      <c r="B211" t="inlineStr">
        <is>
          <t>苏州工学院</t>
        </is>
      </c>
      <c r="C211" t="n">
        <v>0</v>
      </c>
      <c r="D211" t="n">
        <v>0</v>
      </c>
      <c r="E211" t="n">
        <v>15</v>
      </c>
      <c r="F211" t="n">
        <v>25</v>
      </c>
      <c r="G211" t="n">
        <v>77196.86917522097</v>
      </c>
      <c r="H211" t="n">
        <v>207.3099366663138</v>
      </c>
      <c r="I211">
        <f>IF(H211=0, 0, G211/H211)</f>
        <v/>
      </c>
      <c r="J211">
        <f>RANK(I211, I$2:I$1111, 0)</f>
        <v/>
      </c>
      <c r="K211">
        <f>SUM(C211)</f>
        <v/>
      </c>
      <c r="L211">
        <f>SUM(K211,D211)</f>
        <v/>
      </c>
      <c r="M211">
        <f>SUM(L211,E211,F211)</f>
        <v/>
      </c>
      <c r="N211">
        <f>IF(L211=0, -1, K211/L211)</f>
        <v/>
      </c>
      <c r="O211">
        <f>IF(M211=0, -1, K211/M211)</f>
        <v/>
      </c>
      <c r="P211">
        <f>IF(M211=0, -1, L211/M211)</f>
        <v/>
      </c>
    </row>
    <row r="212">
      <c r="A212" t="inlineStr">
        <is>
          <t>RC00408</t>
        </is>
      </c>
      <c r="B212" t="inlineStr">
        <is>
          <t>阜阳师范大学</t>
        </is>
      </c>
      <c r="C212" t="n">
        <v>0</v>
      </c>
      <c r="D212" t="n">
        <v>0</v>
      </c>
      <c r="E212" t="n">
        <v>14</v>
      </c>
      <c r="F212" t="n">
        <v>33</v>
      </c>
      <c r="G212" t="n">
        <v>90323.76325695208</v>
      </c>
      <c r="H212" t="n">
        <v>241.4686510047558</v>
      </c>
      <c r="I212">
        <f>IF(H212=0, 0, G212/H212)</f>
        <v/>
      </c>
      <c r="J212">
        <f>RANK(I212, I$2:I$1111, 0)</f>
        <v/>
      </c>
      <c r="K212">
        <f>SUM(C212)</f>
        <v/>
      </c>
      <c r="L212">
        <f>SUM(K212,D212)</f>
        <v/>
      </c>
      <c r="M212">
        <f>SUM(L212,E212,F212)</f>
        <v/>
      </c>
      <c r="N212">
        <f>IF(L212=0, -1, K212/L212)</f>
        <v/>
      </c>
      <c r="O212">
        <f>IF(M212=0, -1, K212/M212)</f>
        <v/>
      </c>
      <c r="P212">
        <f>IF(M212=0, -1, L212/M212)</f>
        <v/>
      </c>
    </row>
    <row r="213">
      <c r="A213" t="inlineStr">
        <is>
          <t>RC00434</t>
        </is>
      </c>
      <c r="B213" t="inlineStr">
        <is>
          <t>闽南师范大学</t>
        </is>
      </c>
      <c r="C213" t="n">
        <v>0</v>
      </c>
      <c r="D213" t="n">
        <v>0</v>
      </c>
      <c r="E213" t="n">
        <v>20</v>
      </c>
      <c r="F213" t="n">
        <v>29</v>
      </c>
      <c r="G213" t="n">
        <v>96753.14251250737</v>
      </c>
      <c r="H213" t="n">
        <v>245.686568882079</v>
      </c>
      <c r="I213">
        <f>IF(H213=0, 0, G213/H213)</f>
        <v/>
      </c>
      <c r="J213">
        <f>RANK(I213, I$2:I$1111, 0)</f>
        <v/>
      </c>
      <c r="K213">
        <f>SUM(C213)</f>
        <v/>
      </c>
      <c r="L213">
        <f>SUM(K213,D213)</f>
        <v/>
      </c>
      <c r="M213">
        <f>SUM(L213,E213,F213)</f>
        <v/>
      </c>
      <c r="N213">
        <f>IF(L213=0, -1, K213/L213)</f>
        <v/>
      </c>
      <c r="O213">
        <f>IF(M213=0, -1, K213/M213)</f>
        <v/>
      </c>
      <c r="P213">
        <f>IF(M213=0, -1, L213/M213)</f>
        <v/>
      </c>
    </row>
    <row r="214">
      <c r="A214" t="inlineStr">
        <is>
          <t>RC00273</t>
        </is>
      </c>
      <c r="B214" t="inlineStr">
        <is>
          <t>沈阳大学</t>
        </is>
      </c>
      <c r="C214" t="n">
        <v>0</v>
      </c>
      <c r="D214" t="n">
        <v>0</v>
      </c>
      <c r="E214" t="n">
        <v>15</v>
      </c>
      <c r="F214" t="n">
        <v>30</v>
      </c>
      <c r="G214" t="n">
        <v>88918.19210528732</v>
      </c>
      <c r="H214" t="n">
        <v>232.27909784057</v>
      </c>
      <c r="I214">
        <f>IF(H214=0, 0, G214/H214)</f>
        <v/>
      </c>
      <c r="J214">
        <f>RANK(I214, I$2:I$1111, 0)</f>
        <v/>
      </c>
      <c r="K214">
        <f>SUM(C214)</f>
        <v/>
      </c>
      <c r="L214">
        <f>SUM(K214,D214)</f>
        <v/>
      </c>
      <c r="M214">
        <f>SUM(L214,E214,F214)</f>
        <v/>
      </c>
      <c r="N214">
        <f>IF(L214=0, -1, K214/L214)</f>
        <v/>
      </c>
      <c r="O214">
        <f>IF(M214=0, -1, K214/M214)</f>
        <v/>
      </c>
      <c r="P214">
        <f>IF(M214=0, -1, L214/M214)</f>
        <v/>
      </c>
    </row>
    <row r="215">
      <c r="A215" t="inlineStr">
        <is>
          <t>RC00346</t>
        </is>
      </c>
      <c r="B215" t="inlineStr">
        <is>
          <t>上海商学院</t>
        </is>
      </c>
      <c r="C215" t="n">
        <v>2</v>
      </c>
      <c r="D215" t="n">
        <v>1</v>
      </c>
      <c r="E215" t="n">
        <v>7</v>
      </c>
      <c r="F215" t="n">
        <v>14</v>
      </c>
      <c r="G215" t="n">
        <v>50949.33184978309</v>
      </c>
      <c r="H215" t="n">
        <v>122.2677453423126</v>
      </c>
      <c r="I215">
        <f>IF(H215=0, 0, G215/H215)</f>
        <v/>
      </c>
      <c r="J215">
        <f>RANK(I215, I$2:I$1111, 0)</f>
        <v/>
      </c>
      <c r="K215">
        <f>SUM(C215)</f>
        <v/>
      </c>
      <c r="L215">
        <f>SUM(K215,D215)</f>
        <v/>
      </c>
      <c r="M215">
        <f>SUM(L215,E215,F215)</f>
        <v/>
      </c>
      <c r="N215">
        <f>IF(L215=0, -1, K215/L215)</f>
        <v/>
      </c>
      <c r="O215">
        <f>IF(M215=0, -1, K215/M215)</f>
        <v/>
      </c>
      <c r="P215">
        <f>IF(M215=0, -1, L215/M215)</f>
        <v/>
      </c>
    </row>
    <row r="216">
      <c r="A216" t="inlineStr">
        <is>
          <t>RC00648</t>
        </is>
      </c>
      <c r="B216" t="inlineStr">
        <is>
          <t>重庆三峡学院</t>
        </is>
      </c>
      <c r="C216" t="n">
        <v>0</v>
      </c>
      <c r="D216" t="n">
        <v>1</v>
      </c>
      <c r="E216" t="n">
        <v>7</v>
      </c>
      <c r="F216" t="n">
        <v>29</v>
      </c>
      <c r="G216" t="n">
        <v>65903.11254089623</v>
      </c>
      <c r="H216" t="n">
        <v>191.3972222902824</v>
      </c>
      <c r="I216">
        <f>IF(H216=0, 0, G216/H216)</f>
        <v/>
      </c>
      <c r="J216">
        <f>RANK(I216, I$2:I$1111, 0)</f>
        <v/>
      </c>
      <c r="K216">
        <f>SUM(C216)</f>
        <v/>
      </c>
      <c r="L216">
        <f>SUM(K216,D216)</f>
        <v/>
      </c>
      <c r="M216">
        <f>SUM(L216,E216,F216)</f>
        <v/>
      </c>
      <c r="N216">
        <f>IF(L216=0, -1, K216/L216)</f>
        <v/>
      </c>
      <c r="O216">
        <f>IF(M216=0, -1, K216/M216)</f>
        <v/>
      </c>
      <c r="P216">
        <f>IF(M216=0, -1, L216/M216)</f>
        <v/>
      </c>
    </row>
    <row r="217">
      <c r="A217" t="inlineStr">
        <is>
          <t>RC00285</t>
        </is>
      </c>
      <c r="B217" t="inlineStr">
        <is>
          <t>吉林建筑大学</t>
        </is>
      </c>
      <c r="C217" t="n">
        <v>0</v>
      </c>
      <c r="D217" t="n">
        <v>0</v>
      </c>
      <c r="E217" t="n">
        <v>12</v>
      </c>
      <c r="F217" t="n">
        <v>20</v>
      </c>
      <c r="G217" t="n">
        <v>57773.24064188758</v>
      </c>
      <c r="H217" t="n">
        <v>154.2643759253439</v>
      </c>
      <c r="I217">
        <f>IF(H217=0, 0, G217/H217)</f>
        <v/>
      </c>
      <c r="J217">
        <f>RANK(I217, I$2:I$1111, 0)</f>
        <v/>
      </c>
      <c r="K217">
        <f>SUM(C217)</f>
        <v/>
      </c>
      <c r="L217">
        <f>SUM(K217,D217)</f>
        <v/>
      </c>
      <c r="M217">
        <f>SUM(L217,E217,F217)</f>
        <v/>
      </c>
      <c r="N217">
        <f>IF(L217=0, -1, K217/L217)</f>
        <v/>
      </c>
      <c r="O217">
        <f>IF(M217=0, -1, K217/M217)</f>
        <v/>
      </c>
      <c r="P217">
        <f>IF(M217=0, -1, L217/M217)</f>
        <v/>
      </c>
    </row>
    <row r="218">
      <c r="A218" t="inlineStr">
        <is>
          <t>RC00481</t>
        </is>
      </c>
      <c r="B218" t="inlineStr">
        <is>
          <t>山东航空学院</t>
        </is>
      </c>
      <c r="C218" t="n">
        <v>0</v>
      </c>
      <c r="D218" t="n">
        <v>0</v>
      </c>
      <c r="E218" t="n">
        <v>5</v>
      </c>
      <c r="F218" t="n">
        <v>24</v>
      </c>
      <c r="G218" t="n">
        <v>47480.67234008554</v>
      </c>
      <c r="H218" t="n">
        <v>147.1375680723603</v>
      </c>
      <c r="I218">
        <f>IF(H218=0, 0, G218/H218)</f>
        <v/>
      </c>
      <c r="J218">
        <f>RANK(I218, I$2:I$1111, 0)</f>
        <v/>
      </c>
      <c r="K218">
        <f>SUM(C218)</f>
        <v/>
      </c>
      <c r="L218">
        <f>SUM(K218,D218)</f>
        <v/>
      </c>
      <c r="M218">
        <f>SUM(L218,E218,F218)</f>
        <v/>
      </c>
      <c r="N218">
        <f>IF(L218=0, -1, K218/L218)</f>
        <v/>
      </c>
      <c r="O218">
        <f>IF(M218=0, -1, K218/M218)</f>
        <v/>
      </c>
      <c r="P218">
        <f>IF(M218=0, -1, L218/M218)</f>
        <v/>
      </c>
    </row>
    <row r="219">
      <c r="A219" t="inlineStr">
        <is>
          <t>RC00563</t>
        </is>
      </c>
      <c r="B219" t="inlineStr">
        <is>
          <t>武汉商学院</t>
        </is>
      </c>
      <c r="C219" t="n">
        <v>1</v>
      </c>
      <c r="D219" t="n">
        <v>0</v>
      </c>
      <c r="E219" t="n">
        <v>6</v>
      </c>
      <c r="F219" t="n">
        <v>20</v>
      </c>
      <c r="G219" t="n">
        <v>44001.44467374753</v>
      </c>
      <c r="H219" t="n">
        <v>121.6878269771932</v>
      </c>
      <c r="I219">
        <f>IF(H219=0, 0, G219/H219)</f>
        <v/>
      </c>
      <c r="J219">
        <f>RANK(I219, I$2:I$1111, 0)</f>
        <v/>
      </c>
      <c r="K219">
        <f>SUM(C219)</f>
        <v/>
      </c>
      <c r="L219">
        <f>SUM(K219,D219)</f>
        <v/>
      </c>
      <c r="M219">
        <f>SUM(L219,E219,F219)</f>
        <v/>
      </c>
      <c r="N219">
        <f>IF(L219=0, -1, K219/L219)</f>
        <v/>
      </c>
      <c r="O219">
        <f>IF(M219=0, -1, K219/M219)</f>
        <v/>
      </c>
      <c r="P219">
        <f>IF(M219=0, -1, L219/M219)</f>
        <v/>
      </c>
    </row>
    <row r="220">
      <c r="A220" t="inlineStr">
        <is>
          <t>RC00766</t>
        </is>
      </c>
      <c r="B220" t="inlineStr">
        <is>
          <t>甘肃政法大学</t>
        </is>
      </c>
      <c r="C220" t="n">
        <v>1</v>
      </c>
      <c r="D220" t="n">
        <v>0</v>
      </c>
      <c r="E220" t="n">
        <v>10</v>
      </c>
      <c r="F220" t="n">
        <v>17</v>
      </c>
      <c r="G220" t="n">
        <v>53557.28499190499</v>
      </c>
      <c r="H220" t="n">
        <v>139.5395960608574</v>
      </c>
      <c r="I220">
        <f>IF(H220=0, 0, G220/H220)</f>
        <v/>
      </c>
      <c r="J220">
        <f>RANK(I220, I$2:I$1111, 0)</f>
        <v/>
      </c>
      <c r="K220">
        <f>SUM(C220)</f>
        <v/>
      </c>
      <c r="L220">
        <f>SUM(K220,D220)</f>
        <v/>
      </c>
      <c r="M220">
        <f>SUM(L220,E220,F220)</f>
        <v/>
      </c>
      <c r="N220">
        <f>IF(L220=0, -1, K220/L220)</f>
        <v/>
      </c>
      <c r="O220">
        <f>IF(M220=0, -1, K220/M220)</f>
        <v/>
      </c>
      <c r="P220">
        <f>IF(M220=0, -1, L220/M220)</f>
        <v/>
      </c>
    </row>
    <row r="221">
      <c r="A221" t="inlineStr">
        <is>
          <t>RC00649</t>
        </is>
      </c>
      <c r="B221" t="inlineStr">
        <is>
          <t>长江师范学院</t>
        </is>
      </c>
      <c r="C221" t="n">
        <v>0</v>
      </c>
      <c r="D221" t="n">
        <v>0</v>
      </c>
      <c r="E221" t="n">
        <v>9</v>
      </c>
      <c r="F221" t="n">
        <v>30</v>
      </c>
      <c r="G221" t="n">
        <v>69329.25333252344</v>
      </c>
      <c r="H221" t="n">
        <v>203.2324701929603</v>
      </c>
      <c r="I221">
        <f>IF(H221=0, 0, G221/H221)</f>
        <v/>
      </c>
      <c r="J221">
        <f>RANK(I221, I$2:I$1111, 0)</f>
        <v/>
      </c>
      <c r="K221">
        <f>SUM(C221)</f>
        <v/>
      </c>
      <c r="L221">
        <f>SUM(K221,D221)</f>
        <v/>
      </c>
      <c r="M221">
        <f>SUM(L221,E221,F221)</f>
        <v/>
      </c>
      <c r="N221">
        <f>IF(L221=0, -1, K221/L221)</f>
        <v/>
      </c>
      <c r="O221">
        <f>IF(M221=0, -1, K221/M221)</f>
        <v/>
      </c>
      <c r="P221">
        <f>IF(M221=0, -1, L221/M221)</f>
        <v/>
      </c>
    </row>
    <row r="222">
      <c r="A222" t="inlineStr">
        <is>
          <t>RC00413</t>
        </is>
      </c>
      <c r="B222" t="inlineStr">
        <is>
          <t>滁州学院</t>
        </is>
      </c>
      <c r="C222" t="n">
        <v>0</v>
      </c>
      <c r="D222" t="n">
        <v>0</v>
      </c>
      <c r="E222" t="n">
        <v>7</v>
      </c>
      <c r="F222" t="n">
        <v>27</v>
      </c>
      <c r="G222" t="n">
        <v>60166.60085332218</v>
      </c>
      <c r="H222" t="n">
        <v>173.9881522781084</v>
      </c>
      <c r="I222">
        <f>IF(H222=0, 0, G222/H222)</f>
        <v/>
      </c>
      <c r="J222">
        <f>RANK(I222, I$2:I$1111, 0)</f>
        <v/>
      </c>
      <c r="K222">
        <f>SUM(C222)</f>
        <v/>
      </c>
      <c r="L222">
        <f>SUM(K222,D222)</f>
        <v/>
      </c>
      <c r="M222">
        <f>SUM(L222,E222,F222)</f>
        <v/>
      </c>
      <c r="N222">
        <f>IF(L222=0, -1, K222/L222)</f>
        <v/>
      </c>
      <c r="O222">
        <f>IF(M222=0, -1, K222/M222)</f>
        <v/>
      </c>
      <c r="P222">
        <f>IF(M222=0, -1, L222/M222)</f>
        <v/>
      </c>
    </row>
    <row r="223">
      <c r="A223" t="inlineStr">
        <is>
          <t>RC00233</t>
        </is>
      </c>
      <c r="B223" t="inlineStr">
        <is>
          <t>内蒙古工业大学</t>
        </is>
      </c>
      <c r="C223" t="n">
        <v>0</v>
      </c>
      <c r="D223" t="n">
        <v>0</v>
      </c>
      <c r="E223" t="n">
        <v>13</v>
      </c>
      <c r="F223" t="n">
        <v>29</v>
      </c>
      <c r="G223" t="n">
        <v>77810.51512359209</v>
      </c>
      <c r="H223" t="n">
        <v>211.7879688392221</v>
      </c>
      <c r="I223">
        <f>IF(H223=0, 0, G223/H223)</f>
        <v/>
      </c>
      <c r="J223">
        <f>RANK(I223, I$2:I$1111, 0)</f>
        <v/>
      </c>
      <c r="K223">
        <f>SUM(C223)</f>
        <v/>
      </c>
      <c r="L223">
        <f>SUM(K223,D223)</f>
        <v/>
      </c>
      <c r="M223">
        <f>SUM(L223,E223,F223)</f>
        <v/>
      </c>
      <c r="N223">
        <f>IF(L223=0, -1, K223/L223)</f>
        <v/>
      </c>
      <c r="O223">
        <f>IF(M223=0, -1, K223/M223)</f>
        <v/>
      </c>
      <c r="P223">
        <f>IF(M223=0, -1, L223/M223)</f>
        <v/>
      </c>
    </row>
    <row r="224">
      <c r="A224" t="inlineStr">
        <is>
          <t>RC00108</t>
        </is>
      </c>
      <c r="B224" t="inlineStr">
        <is>
          <t>福建农林大学</t>
        </is>
      </c>
      <c r="C224" t="n">
        <v>1</v>
      </c>
      <c r="D224" t="n">
        <v>4</v>
      </c>
      <c r="E224" t="n">
        <v>43</v>
      </c>
      <c r="F224" t="n">
        <v>27</v>
      </c>
      <c r="G224" t="n">
        <v>159687.2329881086</v>
      </c>
      <c r="H224" t="n">
        <v>334.2594673761522</v>
      </c>
      <c r="I224">
        <f>IF(H224=0, 0, G224/H224)</f>
        <v/>
      </c>
      <c r="J224">
        <f>RANK(I224, I$2:I$1111, 0)</f>
        <v/>
      </c>
      <c r="K224">
        <f>SUM(C224)</f>
        <v/>
      </c>
      <c r="L224">
        <f>SUM(K224,D224)</f>
        <v/>
      </c>
      <c r="M224">
        <f>SUM(L224,E224,F224)</f>
        <v/>
      </c>
      <c r="N224">
        <f>IF(L224=0, -1, K224/L224)</f>
        <v/>
      </c>
      <c r="O224">
        <f>IF(M224=0, -1, K224/M224)</f>
        <v/>
      </c>
      <c r="P224">
        <f>IF(M224=0, -1, L224/M224)</f>
        <v/>
      </c>
    </row>
    <row r="225">
      <c r="A225" t="inlineStr">
        <is>
          <t>RC00657</t>
        </is>
      </c>
      <c r="B225" t="inlineStr">
        <is>
          <t>重庆第二师范学院</t>
        </is>
      </c>
      <c r="C225" t="n">
        <v>2</v>
      </c>
      <c r="D225" t="n">
        <v>0</v>
      </c>
      <c r="E225" t="n">
        <v>5</v>
      </c>
      <c r="F225" t="n">
        <v>20</v>
      </c>
      <c r="G225" t="n">
        <v>41470.08783431546</v>
      </c>
      <c r="H225" t="n">
        <v>113.8939482197308</v>
      </c>
      <c r="I225">
        <f>IF(H225=0, 0, G225/H225)</f>
        <v/>
      </c>
      <c r="J225">
        <f>RANK(I225, I$2:I$1111, 0)</f>
        <v/>
      </c>
      <c r="K225">
        <f>SUM(C225)</f>
        <v/>
      </c>
      <c r="L225">
        <f>SUM(K225,D225)</f>
        <v/>
      </c>
      <c r="M225">
        <f>SUM(L225,E225,F225)</f>
        <v/>
      </c>
      <c r="N225">
        <f>IF(L225=0, -1, K225/L225)</f>
        <v/>
      </c>
      <c r="O225">
        <f>IF(M225=0, -1, K225/M225)</f>
        <v/>
      </c>
      <c r="P225">
        <f>IF(M225=0, -1, L225/M225)</f>
        <v/>
      </c>
    </row>
    <row r="226">
      <c r="A226" t="inlineStr">
        <is>
          <t>RC00586</t>
        </is>
      </c>
      <c r="B226" t="inlineStr">
        <is>
          <t>湖南财政经济学院</t>
        </is>
      </c>
      <c r="C226" t="n">
        <v>0</v>
      </c>
      <c r="D226" t="n">
        <v>0</v>
      </c>
      <c r="E226" t="n">
        <v>10</v>
      </c>
      <c r="F226" t="n">
        <v>21</v>
      </c>
      <c r="G226" t="n">
        <v>53944.80399453678</v>
      </c>
      <c r="H226" t="n">
        <v>155.3032775394019</v>
      </c>
      <c r="I226">
        <f>IF(H226=0, 0, G226/H226)</f>
        <v/>
      </c>
      <c r="J226">
        <f>RANK(I226, I$2:I$1111, 0)</f>
        <v/>
      </c>
      <c r="K226">
        <f>SUM(C226)</f>
        <v/>
      </c>
      <c r="L226">
        <f>SUM(K226,D226)</f>
        <v/>
      </c>
      <c r="M226">
        <f>SUM(L226,E226,F226)</f>
        <v/>
      </c>
      <c r="N226">
        <f>IF(L226=0, -1, K226/L226)</f>
        <v/>
      </c>
      <c r="O226">
        <f>IF(M226=0, -1, K226/M226)</f>
        <v/>
      </c>
      <c r="P226">
        <f>IF(M226=0, -1, L226/M226)</f>
        <v/>
      </c>
    </row>
    <row r="227">
      <c r="A227" t="inlineStr">
        <is>
          <t>RC01252</t>
        </is>
      </c>
      <c r="B227" t="inlineStr">
        <is>
          <t>河南工学院</t>
        </is>
      </c>
      <c r="C227" t="n">
        <v>0</v>
      </c>
      <c r="D227" t="n">
        <v>0</v>
      </c>
      <c r="E227" t="n">
        <v>3</v>
      </c>
      <c r="F227" t="n">
        <v>9</v>
      </c>
      <c r="G227" t="n">
        <v>17283.01380644122</v>
      </c>
      <c r="H227" t="n">
        <v>54.02556099680466</v>
      </c>
      <c r="I227">
        <f>IF(H227=0, 0, G227/H227)</f>
        <v/>
      </c>
      <c r="J227">
        <f>RANK(I227, I$2:I$1111, 0)</f>
        <v/>
      </c>
      <c r="K227">
        <f>SUM(C227)</f>
        <v/>
      </c>
      <c r="L227">
        <f>SUM(K227,D227)</f>
        <v/>
      </c>
      <c r="M227">
        <f>SUM(L227,E227,F227)</f>
        <v/>
      </c>
      <c r="N227">
        <f>IF(L227=0, -1, K227/L227)</f>
        <v/>
      </c>
      <c r="O227">
        <f>IF(M227=0, -1, K227/M227)</f>
        <v/>
      </c>
      <c r="P227">
        <f>IF(M227=0, -1, L227/M227)</f>
        <v/>
      </c>
    </row>
    <row r="228">
      <c r="A228" t="inlineStr">
        <is>
          <t>RC00527</t>
        </is>
      </c>
      <c r="B228" t="inlineStr">
        <is>
          <t>新乡学院</t>
        </is>
      </c>
      <c r="C228" t="n">
        <v>0</v>
      </c>
      <c r="D228" t="n">
        <v>0</v>
      </c>
      <c r="E228" t="n">
        <v>1</v>
      </c>
      <c r="F228" t="n">
        <v>15</v>
      </c>
      <c r="G228" t="n">
        <v>25841.29530031778</v>
      </c>
      <c r="H228" t="n">
        <v>76.64989735665533</v>
      </c>
      <c r="I228">
        <f>IF(H228=0, 0, G228/H228)</f>
        <v/>
      </c>
      <c r="J228">
        <f>RANK(I228, I$2:I$1111, 0)</f>
        <v/>
      </c>
      <c r="K228">
        <f>SUM(C228)</f>
        <v/>
      </c>
      <c r="L228">
        <f>SUM(K228,D228)</f>
        <v/>
      </c>
      <c r="M228">
        <f>SUM(L228,E228,F228)</f>
        <v/>
      </c>
      <c r="N228">
        <f>IF(L228=0, -1, K228/L228)</f>
        <v/>
      </c>
      <c r="O228">
        <f>IF(M228=0, -1, K228/M228)</f>
        <v/>
      </c>
      <c r="P228">
        <f>IF(M228=0, -1, L228/M228)</f>
        <v/>
      </c>
    </row>
    <row r="229">
      <c r="A229" t="inlineStr">
        <is>
          <t>RC00317</t>
        </is>
      </c>
      <c r="B229" t="inlineStr">
        <is>
          <t>哈尔滨学院</t>
        </is>
      </c>
      <c r="C229" t="n">
        <v>0</v>
      </c>
      <c r="D229" t="n">
        <v>0</v>
      </c>
      <c r="E229" t="n">
        <v>2</v>
      </c>
      <c r="F229" t="n">
        <v>12</v>
      </c>
      <c r="G229" t="n">
        <v>21772.71303426547</v>
      </c>
      <c r="H229" t="n">
        <v>67.81375028228254</v>
      </c>
      <c r="I229">
        <f>IF(H229=0, 0, G229/H229)</f>
        <v/>
      </c>
      <c r="J229">
        <f>RANK(I229, I$2:I$1111, 0)</f>
        <v/>
      </c>
      <c r="K229">
        <f>SUM(C229)</f>
        <v/>
      </c>
      <c r="L229">
        <f>SUM(K229,D229)</f>
        <v/>
      </c>
      <c r="M229">
        <f>SUM(L229,E229,F229)</f>
        <v/>
      </c>
      <c r="N229">
        <f>IF(L229=0, -1, K229/L229)</f>
        <v/>
      </c>
      <c r="O229">
        <f>IF(M229=0, -1, K229/M229)</f>
        <v/>
      </c>
      <c r="P229">
        <f>IF(M229=0, -1, L229/M229)</f>
        <v/>
      </c>
    </row>
    <row r="230">
      <c r="A230" t="inlineStr">
        <is>
          <t>RC00541</t>
        </is>
      </c>
      <c r="B230" t="inlineStr">
        <is>
          <t>湖北工业大学</t>
        </is>
      </c>
      <c r="C230" t="n">
        <v>0</v>
      </c>
      <c r="D230" t="n">
        <v>6</v>
      </c>
      <c r="E230" t="n">
        <v>35</v>
      </c>
      <c r="F230" t="n">
        <v>15</v>
      </c>
      <c r="G230" t="n">
        <v>141723.945517653</v>
      </c>
      <c r="H230" t="n">
        <v>281.4052080740705</v>
      </c>
      <c r="I230">
        <f>IF(H230=0, 0, G230/H230)</f>
        <v/>
      </c>
      <c r="J230">
        <f>RANK(I230, I$2:I$1111, 0)</f>
        <v/>
      </c>
      <c r="K230">
        <f>SUM(C230)</f>
        <v/>
      </c>
      <c r="L230">
        <f>SUM(K230,D230)</f>
        <v/>
      </c>
      <c r="M230">
        <f>SUM(L230,E230,F230)</f>
        <v/>
      </c>
      <c r="N230">
        <f>IF(L230=0, -1, K230/L230)</f>
        <v/>
      </c>
      <c r="O230">
        <f>IF(M230=0, -1, K230/M230)</f>
        <v/>
      </c>
      <c r="P230">
        <f>IF(M230=0, -1, L230/M230)</f>
        <v/>
      </c>
    </row>
    <row r="231">
      <c r="A231" t="inlineStr">
        <is>
          <t>RC00029</t>
        </is>
      </c>
      <c r="B231" t="inlineStr">
        <is>
          <t>南京农业大学</t>
        </is>
      </c>
      <c r="C231" t="n">
        <v>12</v>
      </c>
      <c r="D231" t="n">
        <v>17</v>
      </c>
      <c r="E231" t="n">
        <v>35</v>
      </c>
      <c r="F231" t="n">
        <v>6</v>
      </c>
      <c r="G231" t="n">
        <v>200819.7670255688</v>
      </c>
      <c r="H231" t="n">
        <v>306.4438725131085</v>
      </c>
      <c r="I231">
        <f>IF(H231=0, 0, G231/H231)</f>
        <v/>
      </c>
      <c r="J231">
        <f>RANK(I231, I$2:I$1111, 0)</f>
        <v/>
      </c>
      <c r="K231">
        <f>SUM(C231)</f>
        <v/>
      </c>
      <c r="L231">
        <f>SUM(K231,D231)</f>
        <v/>
      </c>
      <c r="M231">
        <f>SUM(L231,E231,F231)</f>
        <v/>
      </c>
      <c r="N231">
        <f>IF(L231=0, -1, K231/L231)</f>
        <v/>
      </c>
      <c r="O231">
        <f>IF(M231=0, -1, K231/M231)</f>
        <v/>
      </c>
      <c r="P231">
        <f>IF(M231=0, -1, L231/M231)</f>
        <v/>
      </c>
    </row>
    <row r="232">
      <c r="A232" t="inlineStr">
        <is>
          <t>RC00568</t>
        </is>
      </c>
      <c r="B232" t="inlineStr">
        <is>
          <t>长沙理工大学</t>
        </is>
      </c>
      <c r="C232" t="n">
        <v>0</v>
      </c>
      <c r="D232" t="n">
        <v>15</v>
      </c>
      <c r="E232" t="n">
        <v>51</v>
      </c>
      <c r="F232" t="n">
        <v>10</v>
      </c>
      <c r="G232" t="n">
        <v>202170.7229526978</v>
      </c>
      <c r="H232" t="n">
        <v>371.8887489470132</v>
      </c>
      <c r="I232">
        <f>IF(H232=0, 0, G232/H232)</f>
        <v/>
      </c>
      <c r="J232">
        <f>RANK(I232, I$2:I$1111, 0)</f>
        <v/>
      </c>
      <c r="K232">
        <f>SUM(C232)</f>
        <v/>
      </c>
      <c r="L232">
        <f>SUM(K232,D232)</f>
        <v/>
      </c>
      <c r="M232">
        <f>SUM(L232,E232,F232)</f>
        <v/>
      </c>
      <c r="N232">
        <f>IF(L232=0, -1, K232/L232)</f>
        <v/>
      </c>
      <c r="O232">
        <f>IF(M232=0, -1, K232/M232)</f>
        <v/>
      </c>
      <c r="P232">
        <f>IF(M232=0, -1, L232/M232)</f>
        <v/>
      </c>
    </row>
    <row r="233">
      <c r="A233" t="inlineStr">
        <is>
          <t>RC00349</t>
        </is>
      </c>
      <c r="B233" t="inlineStr">
        <is>
          <t>南京林业大学</t>
        </is>
      </c>
      <c r="C233" t="n">
        <v>9</v>
      </c>
      <c r="D233" t="n">
        <v>5</v>
      </c>
      <c r="E233" t="n">
        <v>50</v>
      </c>
      <c r="F233" t="n">
        <v>6</v>
      </c>
      <c r="G233" t="n">
        <v>182329.5902082166</v>
      </c>
      <c r="H233" t="n">
        <v>320.707454743572</v>
      </c>
      <c r="I233">
        <f>IF(H233=0, 0, G233/H233)</f>
        <v/>
      </c>
      <c r="J233">
        <f>RANK(I233, I$2:I$1111, 0)</f>
        <v/>
      </c>
      <c r="K233">
        <f>SUM(C233)</f>
        <v/>
      </c>
      <c r="L233">
        <f>SUM(K233,D233)</f>
        <v/>
      </c>
      <c r="M233">
        <f>SUM(L233,E233,F233)</f>
        <v/>
      </c>
      <c r="N233">
        <f>IF(L233=0, -1, K233/L233)</f>
        <v/>
      </c>
      <c r="O233">
        <f>IF(M233=0, -1, K233/M233)</f>
        <v/>
      </c>
      <c r="P233">
        <f>IF(M233=0, -1, L233/M233)</f>
        <v/>
      </c>
    </row>
    <row r="234">
      <c r="A234" t="inlineStr">
        <is>
          <t>RC00654</t>
        </is>
      </c>
      <c r="B234" t="inlineStr">
        <is>
          <t>重庆理工大学</t>
        </is>
      </c>
      <c r="C234" t="n">
        <v>0</v>
      </c>
      <c r="D234" t="n">
        <v>4</v>
      </c>
      <c r="E234" t="n">
        <v>32</v>
      </c>
      <c r="F234" t="n">
        <v>18</v>
      </c>
      <c r="G234" t="n">
        <v>126565.9564394283</v>
      </c>
      <c r="H234" t="n">
        <v>272.119492328858</v>
      </c>
      <c r="I234">
        <f>IF(H234=0, 0, G234/H234)</f>
        <v/>
      </c>
      <c r="J234">
        <f>RANK(I234, I$2:I$1111, 0)</f>
        <v/>
      </c>
      <c r="K234">
        <f>SUM(C234)</f>
        <v/>
      </c>
      <c r="L234">
        <f>SUM(K234,D234)</f>
        <v/>
      </c>
      <c r="M234">
        <f>SUM(L234,E234,F234)</f>
        <v/>
      </c>
      <c r="N234">
        <f>IF(L234=0, -1, K234/L234)</f>
        <v/>
      </c>
      <c r="O234">
        <f>IF(M234=0, -1, K234/M234)</f>
        <v/>
      </c>
      <c r="P234">
        <f>IF(M234=0, -1, L234/M234)</f>
        <v/>
      </c>
    </row>
    <row r="235">
      <c r="A235" t="inlineStr">
        <is>
          <t>RC00101</t>
        </is>
      </c>
      <c r="B235" t="inlineStr">
        <is>
          <t>北京林业大学</t>
        </is>
      </c>
      <c r="C235" t="n">
        <v>12</v>
      </c>
      <c r="D235" t="n">
        <v>11</v>
      </c>
      <c r="E235" t="n">
        <v>32</v>
      </c>
      <c r="F235" t="n">
        <v>2</v>
      </c>
      <c r="G235" t="n">
        <v>155710.2256963827</v>
      </c>
      <c r="H235" t="n">
        <v>259.3644724211363</v>
      </c>
      <c r="I235">
        <f>IF(H235=0, 0, G235/H235)</f>
        <v/>
      </c>
      <c r="J235">
        <f>RANK(I235, I$2:I$1111, 0)</f>
        <v/>
      </c>
      <c r="K235">
        <f>SUM(C235)</f>
        <v/>
      </c>
      <c r="L235">
        <f>SUM(K235,D235)</f>
        <v/>
      </c>
      <c r="M235">
        <f>SUM(L235,E235,F235)</f>
        <v/>
      </c>
      <c r="N235">
        <f>IF(L235=0, -1, K235/L235)</f>
        <v/>
      </c>
      <c r="O235">
        <f>IF(M235=0, -1, K235/M235)</f>
        <v/>
      </c>
      <c r="P235">
        <f>IF(M235=0, -1, L235/M235)</f>
        <v/>
      </c>
    </row>
    <row r="236">
      <c r="A236" t="inlineStr">
        <is>
          <t>RC00444</t>
        </is>
      </c>
      <c r="B236" t="inlineStr">
        <is>
          <t>江西理工大学</t>
        </is>
      </c>
      <c r="C236" t="n">
        <v>0</v>
      </c>
      <c r="D236" t="n">
        <v>1</v>
      </c>
      <c r="E236" t="n">
        <v>26</v>
      </c>
      <c r="F236" t="n">
        <v>26</v>
      </c>
      <c r="G236" t="n">
        <v>113973.6971580279</v>
      </c>
      <c r="H236" t="n">
        <v>263.8327781587137</v>
      </c>
      <c r="I236">
        <f>IF(H236=0, 0, G236/H236)</f>
        <v/>
      </c>
      <c r="J236">
        <f>RANK(I236, I$2:I$1111, 0)</f>
        <v/>
      </c>
      <c r="K236">
        <f>SUM(C236)</f>
        <v/>
      </c>
      <c r="L236">
        <f>SUM(K236,D236)</f>
        <v/>
      </c>
      <c r="M236">
        <f>SUM(L236,E236,F236)</f>
        <v/>
      </c>
      <c r="N236">
        <f>IF(L236=0, -1, K236/L236)</f>
        <v/>
      </c>
      <c r="O236">
        <f>IF(M236=0, -1, K236/M236)</f>
        <v/>
      </c>
      <c r="P236">
        <f>IF(M236=0, -1, L236/M236)</f>
        <v/>
      </c>
    </row>
    <row r="237">
      <c r="A237" t="inlineStr">
        <is>
          <t>RC00751</t>
        </is>
      </c>
      <c r="B237" t="inlineStr">
        <is>
          <t>西安邮电大学</t>
        </is>
      </c>
      <c r="C237" t="n">
        <v>1</v>
      </c>
      <c r="D237" t="n">
        <v>10</v>
      </c>
      <c r="E237" t="n">
        <v>22</v>
      </c>
      <c r="F237" t="n">
        <v>8</v>
      </c>
      <c r="G237" t="n">
        <v>107544.3594371966</v>
      </c>
      <c r="H237" t="n">
        <v>201.920649478386</v>
      </c>
      <c r="I237">
        <f>IF(H237=0, 0, G237/H237)</f>
        <v/>
      </c>
      <c r="J237">
        <f>RANK(I237, I$2:I$1111, 0)</f>
        <v/>
      </c>
      <c r="K237">
        <f>SUM(C237)</f>
        <v/>
      </c>
      <c r="L237">
        <f>SUM(K237,D237)</f>
        <v/>
      </c>
      <c r="M237">
        <f>SUM(L237,E237,F237)</f>
        <v/>
      </c>
      <c r="N237">
        <f>IF(L237=0, -1, K237/L237)</f>
        <v/>
      </c>
      <c r="O237">
        <f>IF(M237=0, -1, K237/M237)</f>
        <v/>
      </c>
      <c r="P237">
        <f>IF(M237=0, -1, L237/M237)</f>
        <v/>
      </c>
    </row>
    <row r="238">
      <c r="A238" t="inlineStr">
        <is>
          <t>RC00470</t>
        </is>
      </c>
      <c r="B238" t="inlineStr">
        <is>
          <t>山东农业大学</t>
        </is>
      </c>
      <c r="C238" t="n">
        <v>0</v>
      </c>
      <c r="D238" t="n">
        <v>1</v>
      </c>
      <c r="E238" t="n">
        <v>27</v>
      </c>
      <c r="F238" t="n">
        <v>42</v>
      </c>
      <c r="G238" t="n">
        <v>132417.6561300395</v>
      </c>
      <c r="H238" t="n">
        <v>314.4727526891228</v>
      </c>
      <c r="I238">
        <f>IF(H238=0, 0, G238/H238)</f>
        <v/>
      </c>
      <c r="J238">
        <f>RANK(I238, I$2:I$1111, 0)</f>
        <v/>
      </c>
      <c r="K238">
        <f>SUM(C238)</f>
        <v/>
      </c>
      <c r="L238">
        <f>SUM(K238,D238)</f>
        <v/>
      </c>
      <c r="M238">
        <f>SUM(L238,E238,F238)</f>
        <v/>
      </c>
      <c r="N238">
        <f>IF(L238=0, -1, K238/L238)</f>
        <v/>
      </c>
      <c r="O238">
        <f>IF(M238=0, -1, K238/M238)</f>
        <v/>
      </c>
      <c r="P238">
        <f>IF(M238=0, -1, L238/M238)</f>
        <v/>
      </c>
    </row>
    <row r="239">
      <c r="A239" t="inlineStr">
        <is>
          <t>RC00733</t>
        </is>
      </c>
      <c r="B239" t="inlineStr">
        <is>
          <t>陕西科技大学</t>
        </is>
      </c>
      <c r="C239" t="n">
        <v>0</v>
      </c>
      <c r="D239" t="n">
        <v>4</v>
      </c>
      <c r="E239" t="n">
        <v>38</v>
      </c>
      <c r="F239" t="n">
        <v>15</v>
      </c>
      <c r="G239" t="n">
        <v>137470.5235978837</v>
      </c>
      <c r="H239" t="n">
        <v>273.0799323742809</v>
      </c>
      <c r="I239">
        <f>IF(H239=0, 0, G239/H239)</f>
        <v/>
      </c>
      <c r="J239">
        <f>RANK(I239, I$2:I$1111, 0)</f>
        <v/>
      </c>
      <c r="K239">
        <f>SUM(C239)</f>
        <v/>
      </c>
      <c r="L239">
        <f>SUM(K239,D239)</f>
        <v/>
      </c>
      <c r="M239">
        <f>SUM(L239,E239,F239)</f>
        <v/>
      </c>
      <c r="N239">
        <f>IF(L239=0, -1, K239/L239)</f>
        <v/>
      </c>
      <c r="O239">
        <f>IF(M239=0, -1, K239/M239)</f>
        <v/>
      </c>
      <c r="P239">
        <f>IF(M239=0, -1, L239/M239)</f>
        <v/>
      </c>
    </row>
    <row r="240">
      <c r="A240" t="inlineStr">
        <is>
          <t>RC00731</t>
        </is>
      </c>
      <c r="B240" t="inlineStr">
        <is>
          <t>西安科技大学</t>
        </is>
      </c>
      <c r="C240" t="n">
        <v>0</v>
      </c>
      <c r="D240" t="n">
        <v>6</v>
      </c>
      <c r="E240" t="n">
        <v>30</v>
      </c>
      <c r="F240" t="n">
        <v>19</v>
      </c>
      <c r="G240" t="n">
        <v>128363.3332590165</v>
      </c>
      <c r="H240" t="n">
        <v>267.27040120468</v>
      </c>
      <c r="I240">
        <f>IF(H240=0, 0, G240/H240)</f>
        <v/>
      </c>
      <c r="J240">
        <f>RANK(I240, I$2:I$1111, 0)</f>
        <v/>
      </c>
      <c r="K240">
        <f>SUM(C240)</f>
        <v/>
      </c>
      <c r="L240">
        <f>SUM(K240,D240)</f>
        <v/>
      </c>
      <c r="M240">
        <f>SUM(L240,E240,F240)</f>
        <v/>
      </c>
      <c r="N240">
        <f>IF(L240=0, -1, K240/L240)</f>
        <v/>
      </c>
      <c r="O240">
        <f>IF(M240=0, -1, K240/M240)</f>
        <v/>
      </c>
      <c r="P240">
        <f>IF(M240=0, -1, L240/M240)</f>
        <v/>
      </c>
    </row>
    <row r="241">
      <c r="A241" t="inlineStr">
        <is>
          <t>RC00125</t>
        </is>
      </c>
      <c r="B241" t="inlineStr">
        <is>
          <t>昆明理工大学</t>
        </is>
      </c>
      <c r="C241" t="n">
        <v>0</v>
      </c>
      <c r="D241" t="n">
        <v>9</v>
      </c>
      <c r="E241" t="n">
        <v>56</v>
      </c>
      <c r="F241" t="n">
        <v>21</v>
      </c>
      <c r="G241" t="n">
        <v>208405.2696915815</v>
      </c>
      <c r="H241" t="n">
        <v>399.3589727631011</v>
      </c>
      <c r="I241">
        <f>IF(H241=0, 0, G241/H241)</f>
        <v/>
      </c>
      <c r="J241">
        <f>RANK(I241, I$2:I$1111, 0)</f>
        <v/>
      </c>
      <c r="K241">
        <f>SUM(C241)</f>
        <v/>
      </c>
      <c r="L241">
        <f>SUM(K241,D241)</f>
        <v/>
      </c>
      <c r="M241">
        <f>SUM(L241,E241,F241)</f>
        <v/>
      </c>
      <c r="N241">
        <f>IF(L241=0, -1, K241/L241)</f>
        <v/>
      </c>
      <c r="O241">
        <f>IF(M241=0, -1, K241/M241)</f>
        <v/>
      </c>
      <c r="P241">
        <f>IF(M241=0, -1, L241/M241)</f>
        <v/>
      </c>
    </row>
    <row r="242">
      <c r="A242" t="inlineStr">
        <is>
          <t>RC00158</t>
        </is>
      </c>
      <c r="B242" t="inlineStr">
        <is>
          <t>北京联合大学</t>
        </is>
      </c>
      <c r="C242" t="n">
        <v>0</v>
      </c>
      <c r="D242" t="n">
        <v>5</v>
      </c>
      <c r="E242" t="n">
        <v>25</v>
      </c>
      <c r="F242" t="n">
        <v>24</v>
      </c>
      <c r="G242" t="n">
        <v>123607.2879821273</v>
      </c>
      <c r="H242" t="n">
        <v>271.4771355110992</v>
      </c>
      <c r="I242">
        <f>IF(H242=0, 0, G242/H242)</f>
        <v/>
      </c>
      <c r="J242">
        <f>RANK(I242, I$2:I$1111, 0)</f>
        <v/>
      </c>
      <c r="K242">
        <f>SUM(C242)</f>
        <v/>
      </c>
      <c r="L242">
        <f>SUM(K242,D242)</f>
        <v/>
      </c>
      <c r="M242">
        <f>SUM(L242,E242,F242)</f>
        <v/>
      </c>
      <c r="N242">
        <f>IF(L242=0, -1, K242/L242)</f>
        <v/>
      </c>
      <c r="O242">
        <f>IF(M242=0, -1, K242/M242)</f>
        <v/>
      </c>
      <c r="P242">
        <f>IF(M242=0, -1, L242/M242)</f>
        <v/>
      </c>
    </row>
    <row r="243">
      <c r="A243" t="inlineStr">
        <is>
          <t>RC00570</t>
        </is>
      </c>
      <c r="B243" t="inlineStr">
        <is>
          <t>中南林业科技大学</t>
        </is>
      </c>
      <c r="C243" t="n">
        <v>0</v>
      </c>
      <c r="D243" t="n">
        <v>4</v>
      </c>
      <c r="E243" t="n">
        <v>26</v>
      </c>
      <c r="F243" t="n">
        <v>36</v>
      </c>
      <c r="G243" t="n">
        <v>136027.5182060194</v>
      </c>
      <c r="H243" t="n">
        <v>303.1101137901387</v>
      </c>
      <c r="I243">
        <f>IF(H243=0, 0, G243/H243)</f>
        <v/>
      </c>
      <c r="J243">
        <f>RANK(I243, I$2:I$1111, 0)</f>
        <v/>
      </c>
      <c r="K243">
        <f>SUM(C243)</f>
        <v/>
      </c>
      <c r="L243">
        <f>SUM(K243,D243)</f>
        <v/>
      </c>
      <c r="M243">
        <f>SUM(L243,E243,F243)</f>
        <v/>
      </c>
      <c r="N243">
        <f>IF(L243=0, -1, K243/L243)</f>
        <v/>
      </c>
      <c r="O243">
        <f>IF(M243=0, -1, K243/M243)</f>
        <v/>
      </c>
      <c r="P243">
        <f>IF(M243=0, -1, L243/M243)</f>
        <v/>
      </c>
    </row>
    <row r="244">
      <c r="A244" t="inlineStr">
        <is>
          <t>RC00621</t>
        </is>
      </c>
      <c r="B244" t="inlineStr">
        <is>
          <t>桂林电子科技大学</t>
        </is>
      </c>
      <c r="C244" t="n">
        <v>0</v>
      </c>
      <c r="D244" t="n">
        <v>7</v>
      </c>
      <c r="E244" t="n">
        <v>44</v>
      </c>
      <c r="F244" t="n">
        <v>18</v>
      </c>
      <c r="G244" t="n">
        <v>164171.6245024264</v>
      </c>
      <c r="H244" t="n">
        <v>334.3996656226383</v>
      </c>
      <c r="I244">
        <f>IF(H244=0, 0, G244/H244)</f>
        <v/>
      </c>
      <c r="J244">
        <f>RANK(I244, I$2:I$1111, 0)</f>
        <v/>
      </c>
      <c r="K244">
        <f>SUM(C244)</f>
        <v/>
      </c>
      <c r="L244">
        <f>SUM(K244,D244)</f>
        <v/>
      </c>
      <c r="M244">
        <f>SUM(L244,E244,F244)</f>
        <v/>
      </c>
      <c r="N244">
        <f>IF(L244=0, -1, K244/L244)</f>
        <v/>
      </c>
      <c r="O244">
        <f>IF(M244=0, -1, K244/M244)</f>
        <v/>
      </c>
      <c r="P244">
        <f>IF(M244=0, -1, L244/M244)</f>
        <v/>
      </c>
    </row>
    <row r="245">
      <c r="A245" t="inlineStr">
        <is>
          <t>RC00267</t>
        </is>
      </c>
      <c r="B245" t="inlineStr">
        <is>
          <t>大连外国语大学</t>
        </is>
      </c>
      <c r="C245" t="n">
        <v>0</v>
      </c>
      <c r="D245" t="n">
        <v>6</v>
      </c>
      <c r="E245" t="n">
        <v>13</v>
      </c>
      <c r="F245" t="n">
        <v>18</v>
      </c>
      <c r="G245" t="n">
        <v>81551.92482544213</v>
      </c>
      <c r="H245" t="n">
        <v>160.036240809338</v>
      </c>
      <c r="I245">
        <f>IF(H245=0, 0, G245/H245)</f>
        <v/>
      </c>
      <c r="J245">
        <f>RANK(I245, I$2:I$1111, 0)</f>
        <v/>
      </c>
      <c r="K245">
        <f>SUM(C245)</f>
        <v/>
      </c>
      <c r="L245">
        <f>SUM(K245,D245)</f>
        <v/>
      </c>
      <c r="M245">
        <f>SUM(L245,E245,F245)</f>
        <v/>
      </c>
      <c r="N245">
        <f>IF(L245=0, -1, K245/L245)</f>
        <v/>
      </c>
      <c r="O245">
        <f>IF(M245=0, -1, K245/M245)</f>
        <v/>
      </c>
      <c r="P245">
        <f>IF(M245=0, -1, L245/M245)</f>
        <v/>
      </c>
    </row>
    <row r="246">
      <c r="A246" t="inlineStr">
        <is>
          <t>RC00540</t>
        </is>
      </c>
      <c r="B246" t="inlineStr">
        <is>
          <t>武汉轻工大学</t>
        </is>
      </c>
      <c r="C246" t="n">
        <v>1</v>
      </c>
      <c r="D246" t="n">
        <v>0</v>
      </c>
      <c r="E246" t="n">
        <v>21</v>
      </c>
      <c r="F246" t="n">
        <v>28</v>
      </c>
      <c r="G246" t="n">
        <v>101525.5001956702</v>
      </c>
      <c r="H246" t="n">
        <v>245.3774559447948</v>
      </c>
      <c r="I246">
        <f>IF(H246=0, 0, G246/H246)</f>
        <v/>
      </c>
      <c r="J246">
        <f>RANK(I246, I$2:I$1111, 0)</f>
        <v/>
      </c>
      <c r="K246">
        <f>SUM(C246)</f>
        <v/>
      </c>
      <c r="L246">
        <f>SUM(K246,D246)</f>
        <v/>
      </c>
      <c r="M246">
        <f>SUM(L246,E246,F246)</f>
        <v/>
      </c>
      <c r="N246">
        <f>IF(L246=0, -1, K246/L246)</f>
        <v/>
      </c>
      <c r="O246">
        <f>IF(M246=0, -1, K246/M246)</f>
        <v/>
      </c>
      <c r="P246">
        <f>IF(M246=0, -1, L246/M246)</f>
        <v/>
      </c>
    </row>
    <row r="247">
      <c r="A247" t="inlineStr">
        <is>
          <t>RC00425</t>
        </is>
      </c>
      <c r="B247" t="inlineStr">
        <is>
          <t>福建理工大学</t>
        </is>
      </c>
      <c r="C247" t="n">
        <v>0</v>
      </c>
      <c r="D247" t="n">
        <v>1</v>
      </c>
      <c r="E247" t="n">
        <v>30</v>
      </c>
      <c r="F247" t="n">
        <v>26</v>
      </c>
      <c r="G247" t="n">
        <v>114251.4989716194</v>
      </c>
      <c r="H247" t="n">
        <v>288.2444087172771</v>
      </c>
      <c r="I247">
        <f>IF(H247=0, 0, G247/H247)</f>
        <v/>
      </c>
      <c r="J247">
        <f>RANK(I247, I$2:I$1111, 0)</f>
        <v/>
      </c>
      <c r="K247">
        <f>SUM(C247)</f>
        <v/>
      </c>
      <c r="L247">
        <f>SUM(K247,D247)</f>
        <v/>
      </c>
      <c r="M247">
        <f>SUM(L247,E247,F247)</f>
        <v/>
      </c>
      <c r="N247">
        <f>IF(L247=0, -1, K247/L247)</f>
        <v/>
      </c>
      <c r="O247">
        <f>IF(M247=0, -1, K247/M247)</f>
        <v/>
      </c>
      <c r="P247">
        <f>IF(M247=0, -1, L247/M247)</f>
        <v/>
      </c>
    </row>
    <row r="248">
      <c r="A248" t="inlineStr">
        <is>
          <t>RC00199</t>
        </is>
      </c>
      <c r="B248" t="inlineStr">
        <is>
          <t>石家庄铁道大学</t>
        </is>
      </c>
      <c r="C248" t="n">
        <v>0</v>
      </c>
      <c r="D248" t="n">
        <v>2</v>
      </c>
      <c r="E248" t="n">
        <v>24</v>
      </c>
      <c r="F248" t="n">
        <v>23</v>
      </c>
      <c r="G248" t="n">
        <v>102555.503924155</v>
      </c>
      <c r="H248" t="n">
        <v>239.4115397056981</v>
      </c>
      <c r="I248">
        <f>IF(H248=0, 0, G248/H248)</f>
        <v/>
      </c>
      <c r="J248">
        <f>RANK(I248, I$2:I$1111, 0)</f>
        <v/>
      </c>
      <c r="K248">
        <f>SUM(C248)</f>
        <v/>
      </c>
      <c r="L248">
        <f>SUM(K248,D248)</f>
        <v/>
      </c>
      <c r="M248">
        <f>SUM(L248,E248,F248)</f>
        <v/>
      </c>
      <c r="N248">
        <f>IF(L248=0, -1, K248/L248)</f>
        <v/>
      </c>
      <c r="O248">
        <f>IF(M248=0, -1, K248/M248)</f>
        <v/>
      </c>
      <c r="P248">
        <f>IF(M248=0, -1, L248/M248)</f>
        <v/>
      </c>
    </row>
    <row r="249">
      <c r="A249" t="inlineStr">
        <is>
          <t>RC00650</t>
        </is>
      </c>
      <c r="B249" t="inlineStr">
        <is>
          <t>四川外国语大学</t>
        </is>
      </c>
      <c r="C249" t="n">
        <v>1</v>
      </c>
      <c r="D249" t="n">
        <v>4</v>
      </c>
      <c r="E249" t="n">
        <v>25</v>
      </c>
      <c r="F249" t="n">
        <v>12</v>
      </c>
      <c r="G249" t="n">
        <v>105096.9936103024</v>
      </c>
      <c r="H249" t="n">
        <v>185.5513991693837</v>
      </c>
      <c r="I249">
        <f>IF(H249=0, 0, G249/H249)</f>
        <v/>
      </c>
      <c r="J249">
        <f>RANK(I249, I$2:I$1111, 0)</f>
        <v/>
      </c>
      <c r="K249">
        <f>SUM(C249)</f>
        <v/>
      </c>
      <c r="L249">
        <f>SUM(K249,D249)</f>
        <v/>
      </c>
      <c r="M249">
        <f>SUM(L249,E249,F249)</f>
        <v/>
      </c>
      <c r="N249">
        <f>IF(L249=0, -1, K249/L249)</f>
        <v/>
      </c>
      <c r="O249">
        <f>IF(M249=0, -1, K249/M249)</f>
        <v/>
      </c>
      <c r="P249">
        <f>IF(M249=0, -1, L249/M249)</f>
        <v/>
      </c>
    </row>
    <row r="250">
      <c r="A250" t="inlineStr">
        <is>
          <t>RC00725</t>
        </is>
      </c>
      <c r="B250" t="inlineStr">
        <is>
          <t>西藏民族大学</t>
        </is>
      </c>
      <c r="C250" t="n">
        <v>0</v>
      </c>
      <c r="D250" t="n">
        <v>1</v>
      </c>
      <c r="E250" t="n">
        <v>13</v>
      </c>
      <c r="F250" t="n">
        <v>22</v>
      </c>
      <c r="G250" t="n">
        <v>71732.83559825282</v>
      </c>
      <c r="H250" t="n">
        <v>180.7165500753966</v>
      </c>
      <c r="I250">
        <f>IF(H250=0, 0, G250/H250)</f>
        <v/>
      </c>
      <c r="J250">
        <f>RANK(I250, I$2:I$1111, 0)</f>
        <v/>
      </c>
      <c r="K250">
        <f>SUM(C250)</f>
        <v/>
      </c>
      <c r="L250">
        <f>SUM(K250,D250)</f>
        <v/>
      </c>
      <c r="M250">
        <f>SUM(L250,E250,F250)</f>
        <v/>
      </c>
      <c r="N250">
        <f>IF(L250=0, -1, K250/L250)</f>
        <v/>
      </c>
      <c r="O250">
        <f>IF(M250=0, -1, K250/M250)</f>
        <v/>
      </c>
      <c r="P250">
        <f>IF(M250=0, -1, L250/M250)</f>
        <v/>
      </c>
    </row>
    <row r="251">
      <c r="A251" t="inlineStr">
        <is>
          <t>RC01048</t>
        </is>
      </c>
      <c r="B251" t="inlineStr">
        <is>
          <t>浙大城市学院</t>
        </is>
      </c>
      <c r="C251" t="n">
        <v>0</v>
      </c>
      <c r="D251" t="n">
        <v>0</v>
      </c>
      <c r="E251" t="n">
        <v>16</v>
      </c>
      <c r="F251" t="n">
        <v>12</v>
      </c>
      <c r="G251" t="n">
        <v>57019.72227126981</v>
      </c>
      <c r="H251" t="n">
        <v>151.0069314361465</v>
      </c>
      <c r="I251">
        <f>IF(H251=0, 0, G251/H251)</f>
        <v/>
      </c>
      <c r="J251">
        <f>RANK(I251, I$2:I$1111, 0)</f>
        <v/>
      </c>
      <c r="K251">
        <f>SUM(C251)</f>
        <v/>
      </c>
      <c r="L251">
        <f>SUM(K251,D251)</f>
        <v/>
      </c>
      <c r="M251">
        <f>SUM(L251,E251,F251)</f>
        <v/>
      </c>
      <c r="N251">
        <f>IF(L251=0, -1, K251/L251)</f>
        <v/>
      </c>
      <c r="O251">
        <f>IF(M251=0, -1, K251/M251)</f>
        <v/>
      </c>
      <c r="P251">
        <f>IF(M251=0, -1, L251/M251)</f>
        <v/>
      </c>
    </row>
    <row r="252">
      <c r="A252" t="inlineStr">
        <is>
          <t>RC01049</t>
        </is>
      </c>
      <c r="B252" t="inlineStr">
        <is>
          <t>浙大宁波理工学院</t>
        </is>
      </c>
      <c r="C252" t="n">
        <v>0</v>
      </c>
      <c r="D252" t="n">
        <v>1</v>
      </c>
      <c r="E252" t="n">
        <v>5</v>
      </c>
      <c r="F252" t="n">
        <v>20</v>
      </c>
      <c r="G252" t="n">
        <v>48815.12886986171</v>
      </c>
      <c r="H252" t="n">
        <v>137.2766838248416</v>
      </c>
      <c r="I252">
        <f>IF(H252=0, 0, G252/H252)</f>
        <v/>
      </c>
      <c r="J252">
        <f>RANK(I252, I$2:I$1111, 0)</f>
        <v/>
      </c>
      <c r="K252">
        <f>SUM(C252)</f>
        <v/>
      </c>
      <c r="L252">
        <f>SUM(K252,D252)</f>
        <v/>
      </c>
      <c r="M252">
        <f>SUM(L252,E252,F252)</f>
        <v/>
      </c>
      <c r="N252">
        <f>IF(L252=0, -1, K252/L252)</f>
        <v/>
      </c>
      <c r="O252">
        <f>IF(M252=0, -1, K252/M252)</f>
        <v/>
      </c>
      <c r="P252">
        <f>IF(M252=0, -1, L252/M252)</f>
        <v/>
      </c>
    </row>
    <row r="253">
      <c r="A253" t="inlineStr">
        <is>
          <t>RC00633</t>
        </is>
      </c>
      <c r="B253" t="inlineStr">
        <is>
          <t>广西民族大学</t>
        </is>
      </c>
      <c r="C253" t="n">
        <v>0</v>
      </c>
      <c r="D253" t="n">
        <v>0</v>
      </c>
      <c r="E253" t="n">
        <v>16</v>
      </c>
      <c r="F253" t="n">
        <v>35</v>
      </c>
      <c r="G253" t="n">
        <v>95169.48677653611</v>
      </c>
      <c r="H253" t="n">
        <v>237.3453496340281</v>
      </c>
      <c r="I253">
        <f>IF(H253=0, 0, G253/H253)</f>
        <v/>
      </c>
      <c r="J253">
        <f>RANK(I253, I$2:I$1111, 0)</f>
        <v/>
      </c>
      <c r="K253">
        <f>SUM(C253)</f>
        <v/>
      </c>
      <c r="L253">
        <f>SUM(K253,D253)</f>
        <v/>
      </c>
      <c r="M253">
        <f>SUM(L253,E253,F253)</f>
        <v/>
      </c>
      <c r="N253">
        <f>IF(L253=0, -1, K253/L253)</f>
        <v/>
      </c>
      <c r="O253">
        <f>IF(M253=0, -1, K253/M253)</f>
        <v/>
      </c>
      <c r="P253">
        <f>IF(M253=0, -1, L253/M253)</f>
        <v/>
      </c>
    </row>
    <row r="254">
      <c r="A254" t="inlineStr">
        <is>
          <t>RC00377</t>
        </is>
      </c>
      <c r="B254" t="inlineStr">
        <is>
          <t>浙江海洋大学</t>
        </is>
      </c>
      <c r="C254" t="n">
        <v>1</v>
      </c>
      <c r="D254" t="n">
        <v>0</v>
      </c>
      <c r="E254" t="n">
        <v>17</v>
      </c>
      <c r="F254" t="n">
        <v>19</v>
      </c>
      <c r="G254" t="n">
        <v>68603.79655700774</v>
      </c>
      <c r="H254" t="n">
        <v>165.973138569425</v>
      </c>
      <c r="I254">
        <f>IF(H254=0, 0, G254/H254)</f>
        <v/>
      </c>
      <c r="J254">
        <f>RANK(I254, I$2:I$1111, 0)</f>
        <v/>
      </c>
      <c r="K254">
        <f>SUM(C254)</f>
        <v/>
      </c>
      <c r="L254">
        <f>SUM(K254,D254)</f>
        <v/>
      </c>
      <c r="M254">
        <f>SUM(L254,E254,F254)</f>
        <v/>
      </c>
      <c r="N254">
        <f>IF(L254=0, -1, K254/L254)</f>
        <v/>
      </c>
      <c r="O254">
        <f>IF(M254=0, -1, K254/M254)</f>
        <v/>
      </c>
      <c r="P254">
        <f>IF(M254=0, -1, L254/M254)</f>
        <v/>
      </c>
    </row>
    <row r="255">
      <c r="A255" t="inlineStr">
        <is>
          <t>RC00552</t>
        </is>
      </c>
      <c r="B255" t="inlineStr">
        <is>
          <t>湖北汽车工业学院</t>
        </is>
      </c>
      <c r="C255" t="n">
        <v>0</v>
      </c>
      <c r="D255" t="n">
        <v>1</v>
      </c>
      <c r="E255" t="n">
        <v>9</v>
      </c>
      <c r="F255" t="n">
        <v>22</v>
      </c>
      <c r="G255" t="n">
        <v>57802.76116810589</v>
      </c>
      <c r="H255" t="n">
        <v>160.6084508295589</v>
      </c>
      <c r="I255">
        <f>IF(H255=0, 0, G255/H255)</f>
        <v/>
      </c>
      <c r="J255">
        <f>RANK(I255, I$2:I$1111, 0)</f>
        <v/>
      </c>
      <c r="K255">
        <f>SUM(C255)</f>
        <v/>
      </c>
      <c r="L255">
        <f>SUM(K255,D255)</f>
        <v/>
      </c>
      <c r="M255">
        <f>SUM(L255,E255,F255)</f>
        <v/>
      </c>
      <c r="N255">
        <f>IF(L255=0, -1, K255/L255)</f>
        <v/>
      </c>
      <c r="O255">
        <f>IF(M255=0, -1, K255/M255)</f>
        <v/>
      </c>
      <c r="P255">
        <f>IF(M255=0, -1, L255/M255)</f>
        <v/>
      </c>
    </row>
    <row r="256">
      <c r="A256" t="inlineStr">
        <is>
          <t>RC00509</t>
        </is>
      </c>
      <c r="B256" t="inlineStr">
        <is>
          <t>河南农业大学</t>
        </is>
      </c>
      <c r="C256" t="n">
        <v>3</v>
      </c>
      <c r="D256" t="n">
        <v>1</v>
      </c>
      <c r="E256" t="n">
        <v>26</v>
      </c>
      <c r="F256" t="n">
        <v>33</v>
      </c>
      <c r="G256" t="n">
        <v>115849.0129902794</v>
      </c>
      <c r="H256" t="n">
        <v>256.964667772355</v>
      </c>
      <c r="I256">
        <f>IF(H256=0, 0, G256/H256)</f>
        <v/>
      </c>
      <c r="J256">
        <f>RANK(I256, I$2:I$1111, 0)</f>
        <v/>
      </c>
      <c r="K256">
        <f>SUM(C256)</f>
        <v/>
      </c>
      <c r="L256">
        <f>SUM(K256,D256)</f>
        <v/>
      </c>
      <c r="M256">
        <f>SUM(L256,E256,F256)</f>
        <v/>
      </c>
      <c r="N256">
        <f>IF(L256=0, -1, K256/L256)</f>
        <v/>
      </c>
      <c r="O256">
        <f>IF(M256=0, -1, K256/M256)</f>
        <v/>
      </c>
      <c r="P256">
        <f>IF(M256=0, -1, L256/M256)</f>
        <v/>
      </c>
    </row>
    <row r="257">
      <c r="A257" t="inlineStr">
        <is>
          <t>RC00504</t>
        </is>
      </c>
      <c r="B257" t="inlineStr">
        <is>
          <t>河南理工大学</t>
        </is>
      </c>
      <c r="C257" t="n">
        <v>0</v>
      </c>
      <c r="D257" t="n">
        <v>1</v>
      </c>
      <c r="E257" t="n">
        <v>34</v>
      </c>
      <c r="F257" t="n">
        <v>30</v>
      </c>
      <c r="G257" t="n">
        <v>131854.5598097467</v>
      </c>
      <c r="H257" t="n">
        <v>312.5564862891613</v>
      </c>
      <c r="I257">
        <f>IF(H257=0, 0, G257/H257)</f>
        <v/>
      </c>
      <c r="J257">
        <f>RANK(I257, I$2:I$1111, 0)</f>
        <v/>
      </c>
      <c r="K257">
        <f>SUM(C257)</f>
        <v/>
      </c>
      <c r="L257">
        <f>SUM(K257,D257)</f>
        <v/>
      </c>
      <c r="M257">
        <f>SUM(L257,E257,F257)</f>
        <v/>
      </c>
      <c r="N257">
        <f>IF(L257=0, -1, K257/L257)</f>
        <v/>
      </c>
      <c r="O257">
        <f>IF(M257=0, -1, K257/M257)</f>
        <v/>
      </c>
      <c r="P257">
        <f>IF(M257=0, -1, L257/M257)</f>
        <v/>
      </c>
    </row>
    <row r="258">
      <c r="A258" t="inlineStr">
        <is>
          <t>RC00457</t>
        </is>
      </c>
      <c r="B258" t="inlineStr">
        <is>
          <t>江西科技师范大学</t>
        </is>
      </c>
      <c r="C258" t="n">
        <v>0</v>
      </c>
      <c r="D258" t="n">
        <v>0</v>
      </c>
      <c r="E258" t="n">
        <v>15</v>
      </c>
      <c r="F258" t="n">
        <v>37</v>
      </c>
      <c r="G258" t="n">
        <v>99832.62194383651</v>
      </c>
      <c r="H258" t="n">
        <v>268.2865757611187</v>
      </c>
      <c r="I258">
        <f>IF(H258=0, 0, G258/H258)</f>
        <v/>
      </c>
      <c r="J258">
        <f>RANK(I258, I$2:I$1111, 0)</f>
        <v/>
      </c>
      <c r="K258">
        <f>SUM(C258)</f>
        <v/>
      </c>
      <c r="L258">
        <f>SUM(K258,D258)</f>
        <v/>
      </c>
      <c r="M258">
        <f>SUM(L258,E258,F258)</f>
        <v/>
      </c>
      <c r="N258">
        <f>IF(L258=0, -1, K258/L258)</f>
        <v/>
      </c>
      <c r="O258">
        <f>IF(M258=0, -1, K258/M258)</f>
        <v/>
      </c>
      <c r="P258">
        <f>IF(M258=0, -1, L258/M258)</f>
        <v/>
      </c>
    </row>
    <row r="259">
      <c r="A259" t="inlineStr">
        <is>
          <t>RC00687</t>
        </is>
      </c>
      <c r="B259" t="inlineStr">
        <is>
          <t>成都师范学院</t>
        </is>
      </c>
      <c r="C259" t="n">
        <v>0</v>
      </c>
      <c r="D259" t="n">
        <v>0</v>
      </c>
      <c r="E259" t="n">
        <v>7</v>
      </c>
      <c r="F259" t="n">
        <v>16</v>
      </c>
      <c r="G259" t="n">
        <v>39292.02286769871</v>
      </c>
      <c r="H259" t="n">
        <v>109.3229205234228</v>
      </c>
      <c r="I259">
        <f>IF(H259=0, 0, G259/H259)</f>
        <v/>
      </c>
      <c r="J259">
        <f>RANK(I259, I$2:I$1111, 0)</f>
        <v/>
      </c>
      <c r="K259">
        <f>SUM(C259)</f>
        <v/>
      </c>
      <c r="L259">
        <f>SUM(K259,D259)</f>
        <v/>
      </c>
      <c r="M259">
        <f>SUM(L259,E259,F259)</f>
        <v/>
      </c>
      <c r="N259">
        <f>IF(L259=0, -1, K259/L259)</f>
        <v/>
      </c>
      <c r="O259">
        <f>IF(M259=0, -1, K259/M259)</f>
        <v/>
      </c>
      <c r="P259">
        <f>IF(M259=0, -1, L259/M259)</f>
        <v/>
      </c>
    </row>
    <row r="260">
      <c r="A260" t="inlineStr">
        <is>
          <t>RC00782</t>
        </is>
      </c>
      <c r="B260" t="inlineStr">
        <is>
          <t>新疆师范大学</t>
        </is>
      </c>
      <c r="C260" t="n">
        <v>0</v>
      </c>
      <c r="D260" t="n">
        <v>2</v>
      </c>
      <c r="E260" t="n">
        <v>12</v>
      </c>
      <c r="F260" t="n">
        <v>25</v>
      </c>
      <c r="G260" t="n">
        <v>75247.51672746346</v>
      </c>
      <c r="H260" t="n">
        <v>193.5362227696071</v>
      </c>
      <c r="I260">
        <f>IF(H260=0, 0, G260/H260)</f>
        <v/>
      </c>
      <c r="J260">
        <f>RANK(I260, I$2:I$1111, 0)</f>
        <v/>
      </c>
      <c r="K260">
        <f>SUM(C260)</f>
        <v/>
      </c>
      <c r="L260">
        <f>SUM(K260,D260)</f>
        <v/>
      </c>
      <c r="M260">
        <f>SUM(L260,E260,F260)</f>
        <v/>
      </c>
      <c r="N260">
        <f>IF(L260=0, -1, K260/L260)</f>
        <v/>
      </c>
      <c r="O260">
        <f>IF(M260=0, -1, K260/M260)</f>
        <v/>
      </c>
      <c r="P260">
        <f>IF(M260=0, -1, L260/M260)</f>
        <v/>
      </c>
    </row>
    <row r="261">
      <c r="A261" t="inlineStr">
        <is>
          <t>RC00526</t>
        </is>
      </c>
      <c r="B261" t="inlineStr">
        <is>
          <t>洛阳理工学院</t>
        </is>
      </c>
      <c r="C261" t="n">
        <v>0</v>
      </c>
      <c r="D261" t="n">
        <v>0</v>
      </c>
      <c r="E261" t="n">
        <v>2</v>
      </c>
      <c r="F261" t="n">
        <v>17</v>
      </c>
      <c r="G261" t="n">
        <v>29231.54886670545</v>
      </c>
      <c r="H261" t="n">
        <v>95.34903085748391</v>
      </c>
      <c r="I261">
        <f>IF(H261=0, 0, G261/H261)</f>
        <v/>
      </c>
      <c r="J261">
        <f>RANK(I261, I$2:I$1111, 0)</f>
        <v/>
      </c>
      <c r="K261">
        <f>SUM(C261)</f>
        <v/>
      </c>
      <c r="L261">
        <f>SUM(K261,D261)</f>
        <v/>
      </c>
      <c r="M261">
        <f>SUM(L261,E261,F261)</f>
        <v/>
      </c>
      <c r="N261">
        <f>IF(L261=0, -1, K261/L261)</f>
        <v/>
      </c>
      <c r="O261">
        <f>IF(M261=0, -1, K261/M261)</f>
        <v/>
      </c>
      <c r="P261">
        <f>IF(M261=0, -1, L261/M261)</f>
        <v/>
      </c>
    </row>
    <row r="262">
      <c r="A262" t="inlineStr">
        <is>
          <t>RC00195</t>
        </is>
      </c>
      <c r="B262" t="inlineStr">
        <is>
          <t>石家庄学院</t>
        </is>
      </c>
      <c r="C262" t="n">
        <v>0</v>
      </c>
      <c r="D262" t="n">
        <v>0</v>
      </c>
      <c r="E262" t="n">
        <v>4</v>
      </c>
      <c r="F262" t="n">
        <v>17</v>
      </c>
      <c r="G262" t="n">
        <v>35201.77580976589</v>
      </c>
      <c r="H262" t="n">
        <v>105.7663697755605</v>
      </c>
      <c r="I262">
        <f>IF(H262=0, 0, G262/H262)</f>
        <v/>
      </c>
      <c r="J262">
        <f>RANK(I262, I$2:I$1111, 0)</f>
        <v/>
      </c>
      <c r="K262">
        <f>SUM(C262)</f>
        <v/>
      </c>
      <c r="L262">
        <f>SUM(K262,D262)</f>
        <v/>
      </c>
      <c r="M262">
        <f>SUM(L262,E262,F262)</f>
        <v/>
      </c>
      <c r="N262">
        <f>IF(L262=0, -1, K262/L262)</f>
        <v/>
      </c>
      <c r="O262">
        <f>IF(M262=0, -1, K262/M262)</f>
        <v/>
      </c>
      <c r="P262">
        <f>IF(M262=0, -1, L262/M262)</f>
        <v/>
      </c>
    </row>
    <row r="263">
      <c r="A263" t="inlineStr">
        <is>
          <t>RC00701</t>
        </is>
      </c>
      <c r="B263" t="inlineStr">
        <is>
          <t>贵阳学院</t>
        </is>
      </c>
      <c r="C263" t="n">
        <v>0</v>
      </c>
      <c r="D263" t="n">
        <v>0</v>
      </c>
      <c r="E263" t="n">
        <v>6</v>
      </c>
      <c r="F263" t="n">
        <v>16</v>
      </c>
      <c r="G263" t="n">
        <v>41423.42768195446</v>
      </c>
      <c r="H263" t="n">
        <v>120.1748917142979</v>
      </c>
      <c r="I263">
        <f>IF(H263=0, 0, G263/H263)</f>
        <v/>
      </c>
      <c r="J263">
        <f>RANK(I263, I$2:I$1111, 0)</f>
        <v/>
      </c>
      <c r="K263">
        <f>SUM(C263)</f>
        <v/>
      </c>
      <c r="L263">
        <f>SUM(K263,D263)</f>
        <v/>
      </c>
      <c r="M263">
        <f>SUM(L263,E263,F263)</f>
        <v/>
      </c>
      <c r="N263">
        <f>IF(L263=0, -1, K263/L263)</f>
        <v/>
      </c>
      <c r="O263">
        <f>IF(M263=0, -1, K263/M263)</f>
        <v/>
      </c>
      <c r="P263">
        <f>IF(M263=0, -1, L263/M263)</f>
        <v/>
      </c>
    </row>
    <row r="264">
      <c r="A264" t="inlineStr">
        <is>
          <t>RC01036</t>
        </is>
      </c>
      <c r="B264" t="inlineStr">
        <is>
          <t>苏州城市学院</t>
        </is>
      </c>
      <c r="C264" t="n">
        <v>0</v>
      </c>
      <c r="D264" t="n">
        <v>0</v>
      </c>
      <c r="E264" t="n">
        <v>3</v>
      </c>
      <c r="F264" t="n">
        <v>23</v>
      </c>
      <c r="G264" t="n">
        <v>40378.05074865442</v>
      </c>
      <c r="H264" t="n">
        <v>130.3301310732205</v>
      </c>
      <c r="I264">
        <f>IF(H264=0, 0, G264/H264)</f>
        <v/>
      </c>
      <c r="J264">
        <f>RANK(I264, I$2:I$1111, 0)</f>
        <v/>
      </c>
      <c r="K264">
        <f>SUM(C264)</f>
        <v/>
      </c>
      <c r="L264">
        <f>SUM(K264,D264)</f>
        <v/>
      </c>
      <c r="M264">
        <f>SUM(L264,E264,F264)</f>
        <v/>
      </c>
      <c r="N264">
        <f>IF(L264=0, -1, K264/L264)</f>
        <v/>
      </c>
      <c r="O264">
        <f>IF(M264=0, -1, K264/M264)</f>
        <v/>
      </c>
      <c r="P264">
        <f>IF(M264=0, -1, L264/M264)</f>
        <v/>
      </c>
    </row>
    <row r="265">
      <c r="A265" t="inlineStr">
        <is>
          <t>RC00582</t>
        </is>
      </c>
      <c r="B265" t="inlineStr">
        <is>
          <t>长沙学院</t>
        </is>
      </c>
      <c r="C265" t="n">
        <v>0</v>
      </c>
      <c r="D265" t="n">
        <v>0</v>
      </c>
      <c r="E265" t="n">
        <v>11</v>
      </c>
      <c r="F265" t="n">
        <v>27</v>
      </c>
      <c r="G265" t="n">
        <v>71529.28815260511</v>
      </c>
      <c r="H265" t="n">
        <v>199.7834619749207</v>
      </c>
      <c r="I265">
        <f>IF(H265=0, 0, G265/H265)</f>
        <v/>
      </c>
      <c r="J265">
        <f>RANK(I265, I$2:I$1111, 0)</f>
        <v/>
      </c>
      <c r="K265">
        <f>SUM(C265)</f>
        <v/>
      </c>
      <c r="L265">
        <f>SUM(K265,D265)</f>
        <v/>
      </c>
      <c r="M265">
        <f>SUM(L265,E265,F265)</f>
        <v/>
      </c>
      <c r="N265">
        <f>IF(L265=0, -1, K265/L265)</f>
        <v/>
      </c>
      <c r="O265">
        <f>IF(M265=0, -1, K265/M265)</f>
        <v/>
      </c>
      <c r="P265">
        <f>IF(M265=0, -1, L265/M265)</f>
        <v/>
      </c>
    </row>
    <row r="266">
      <c r="A266" t="inlineStr">
        <is>
          <t>RC00440</t>
        </is>
      </c>
      <c r="B266" t="inlineStr">
        <is>
          <t>福建江夏学院</t>
        </is>
      </c>
      <c r="C266" t="n">
        <v>0</v>
      </c>
      <c r="D266" t="n">
        <v>0</v>
      </c>
      <c r="E266" t="n">
        <v>11</v>
      </c>
      <c r="F266" t="n">
        <v>19</v>
      </c>
      <c r="G266" t="n">
        <v>52247.05813007021</v>
      </c>
      <c r="H266" t="n">
        <v>146.193568354427</v>
      </c>
      <c r="I266">
        <f>IF(H266=0, 0, G266/H266)</f>
        <v/>
      </c>
      <c r="J266">
        <f>RANK(I266, I$2:I$1111, 0)</f>
        <v/>
      </c>
      <c r="K266">
        <f>SUM(C266)</f>
        <v/>
      </c>
      <c r="L266">
        <f>SUM(K266,D266)</f>
        <v/>
      </c>
      <c r="M266">
        <f>SUM(L266,E266,F266)</f>
        <v/>
      </c>
      <c r="N266">
        <f>IF(L266=0, -1, K266/L266)</f>
        <v/>
      </c>
      <c r="O266">
        <f>IF(M266=0, -1, K266/M266)</f>
        <v/>
      </c>
      <c r="P266">
        <f>IF(M266=0, -1, L266/M266)</f>
        <v/>
      </c>
    </row>
    <row r="267">
      <c r="A267" t="inlineStr">
        <is>
          <t>RC00672</t>
        </is>
      </c>
      <c r="B267" t="inlineStr">
        <is>
          <t>绵阳师范学院</t>
        </is>
      </c>
      <c r="C267" t="n">
        <v>0</v>
      </c>
      <c r="D267" t="n">
        <v>0</v>
      </c>
      <c r="E267" t="n">
        <v>4</v>
      </c>
      <c r="F267" t="n">
        <v>24</v>
      </c>
      <c r="G267" t="n">
        <v>49494.77851205522</v>
      </c>
      <c r="H267" t="n">
        <v>144.5790936231421</v>
      </c>
      <c r="I267">
        <f>IF(H267=0, 0, G267/H267)</f>
        <v/>
      </c>
      <c r="J267">
        <f>RANK(I267, I$2:I$1111, 0)</f>
        <v/>
      </c>
      <c r="K267">
        <f>SUM(C267)</f>
        <v/>
      </c>
      <c r="L267">
        <f>SUM(K267,D267)</f>
        <v/>
      </c>
      <c r="M267">
        <f>SUM(L267,E267,F267)</f>
        <v/>
      </c>
      <c r="N267">
        <f>IF(L267=0, -1, K267/L267)</f>
        <v/>
      </c>
      <c r="O267">
        <f>IF(M267=0, -1, K267/M267)</f>
        <v/>
      </c>
      <c r="P267">
        <f>IF(M267=0, -1, L267/M267)</f>
        <v/>
      </c>
    </row>
    <row r="268">
      <c r="A268" t="inlineStr">
        <is>
          <t>RC00417</t>
        </is>
      </c>
      <c r="B268" t="inlineStr">
        <is>
          <t>淮南师范学院</t>
        </is>
      </c>
      <c r="C268" t="n">
        <v>0</v>
      </c>
      <c r="D268" t="n">
        <v>0</v>
      </c>
      <c r="E268" t="n">
        <v>1</v>
      </c>
      <c r="F268" t="n">
        <v>20</v>
      </c>
      <c r="G268" t="n">
        <v>34514.32906158438</v>
      </c>
      <c r="H268" t="n">
        <v>111.4356713288161</v>
      </c>
      <c r="I268">
        <f>IF(H268=0, 0, G268/H268)</f>
        <v/>
      </c>
      <c r="J268">
        <f>RANK(I268, I$2:I$1111, 0)</f>
        <v/>
      </c>
      <c r="K268">
        <f>SUM(C268)</f>
        <v/>
      </c>
      <c r="L268">
        <f>SUM(K268,D268)</f>
        <v/>
      </c>
      <c r="M268">
        <f>SUM(L268,E268,F268)</f>
        <v/>
      </c>
      <c r="N268">
        <f>IF(L268=0, -1, K268/L268)</f>
        <v/>
      </c>
      <c r="O268">
        <f>IF(M268=0, -1, K268/M268)</f>
        <v/>
      </c>
      <c r="P268">
        <f>IF(M268=0, -1, L268/M268)</f>
        <v/>
      </c>
    </row>
    <row r="269">
      <c r="A269" t="inlineStr">
        <is>
          <t>RC00864</t>
        </is>
      </c>
      <c r="B269" t="inlineStr">
        <is>
          <t>宿迁学院</t>
        </is>
      </c>
      <c r="C269" t="n">
        <v>0</v>
      </c>
      <c r="D269" t="n">
        <v>0</v>
      </c>
      <c r="E269" t="n">
        <v>4</v>
      </c>
      <c r="F269" t="n">
        <v>21</v>
      </c>
      <c r="G269" t="n">
        <v>39969.38123370569</v>
      </c>
      <c r="H269" t="n">
        <v>132.9611084946918</v>
      </c>
      <c r="I269">
        <f>IF(H269=0, 0, G269/H269)</f>
        <v/>
      </c>
      <c r="J269">
        <f>RANK(I269, I$2:I$1111, 0)</f>
        <v/>
      </c>
      <c r="K269">
        <f>SUM(C269)</f>
        <v/>
      </c>
      <c r="L269">
        <f>SUM(K269,D269)</f>
        <v/>
      </c>
      <c r="M269">
        <f>SUM(L269,E269,F269)</f>
        <v/>
      </c>
      <c r="N269">
        <f>IF(L269=0, -1, K269/L269)</f>
        <v/>
      </c>
      <c r="O269">
        <f>IF(M269=0, -1, K269/M269)</f>
        <v/>
      </c>
      <c r="P269">
        <f>IF(M269=0, -1, L269/M269)</f>
        <v/>
      </c>
    </row>
    <row r="270">
      <c r="A270" t="inlineStr">
        <is>
          <t>RC00681</t>
        </is>
      </c>
      <c r="B270" t="inlineStr">
        <is>
          <t>成都工业学院</t>
        </is>
      </c>
      <c r="C270" t="n">
        <v>0</v>
      </c>
      <c r="D270" t="n">
        <v>0</v>
      </c>
      <c r="E270" t="n">
        <v>3</v>
      </c>
      <c r="F270" t="n">
        <v>21</v>
      </c>
      <c r="G270" t="n">
        <v>39337.43242846275</v>
      </c>
      <c r="H270" t="n">
        <v>120.2850654479395</v>
      </c>
      <c r="I270">
        <f>IF(H270=0, 0, G270/H270)</f>
        <v/>
      </c>
      <c r="J270">
        <f>RANK(I270, I$2:I$1111, 0)</f>
        <v/>
      </c>
      <c r="K270">
        <f>SUM(C270)</f>
        <v/>
      </c>
      <c r="L270">
        <f>SUM(K270,D270)</f>
        <v/>
      </c>
      <c r="M270">
        <f>SUM(L270,E270,F270)</f>
        <v/>
      </c>
      <c r="N270">
        <f>IF(L270=0, -1, K270/L270)</f>
        <v/>
      </c>
      <c r="O270">
        <f>IF(M270=0, -1, K270/M270)</f>
        <v/>
      </c>
      <c r="P270">
        <f>IF(M270=0, -1, L270/M270)</f>
        <v/>
      </c>
    </row>
    <row r="271">
      <c r="A271" t="inlineStr">
        <is>
          <t>RC00495</t>
        </is>
      </c>
      <c r="B271" t="inlineStr">
        <is>
          <t>山东交通学院</t>
        </is>
      </c>
      <c r="C271" t="n">
        <v>1</v>
      </c>
      <c r="D271" t="n">
        <v>1</v>
      </c>
      <c r="E271" t="n">
        <v>2</v>
      </c>
      <c r="F271" t="n">
        <v>24</v>
      </c>
      <c r="G271" t="n">
        <v>43797.96598815548</v>
      </c>
      <c r="H271" t="n">
        <v>131.3657829876846</v>
      </c>
      <c r="I271">
        <f>IF(H271=0, 0, G271/H271)</f>
        <v/>
      </c>
      <c r="J271">
        <f>RANK(I271, I$2:I$1111, 0)</f>
        <v/>
      </c>
      <c r="K271">
        <f>SUM(C271)</f>
        <v/>
      </c>
      <c r="L271">
        <f>SUM(K271,D271)</f>
        <v/>
      </c>
      <c r="M271">
        <f>SUM(L271,E271,F271)</f>
        <v/>
      </c>
      <c r="N271">
        <f>IF(L271=0, -1, K271/L271)</f>
        <v/>
      </c>
      <c r="O271">
        <f>IF(M271=0, -1, K271/M271)</f>
        <v/>
      </c>
      <c r="P271">
        <f>IF(M271=0, -1, L271/M271)</f>
        <v/>
      </c>
    </row>
    <row r="272">
      <c r="A272" t="inlineStr">
        <is>
          <t>RC00684</t>
        </is>
      </c>
      <c r="B272" t="inlineStr">
        <is>
          <t>四川民族学院</t>
        </is>
      </c>
      <c r="C272" t="n">
        <v>0</v>
      </c>
      <c r="D272" t="n">
        <v>0</v>
      </c>
      <c r="E272" t="n">
        <v>0</v>
      </c>
      <c r="F272" t="n">
        <v>3</v>
      </c>
      <c r="G272" t="n">
        <v>5254.646262812606</v>
      </c>
      <c r="H272" t="n">
        <v>15.75022686046401</v>
      </c>
      <c r="I272">
        <f>IF(H272=0, 0, G272/H272)</f>
        <v/>
      </c>
      <c r="J272">
        <f>RANK(I272, I$2:I$1111, 0)</f>
        <v/>
      </c>
      <c r="K272">
        <f>SUM(C272)</f>
        <v/>
      </c>
      <c r="L272">
        <f>SUM(K272,D272)</f>
        <v/>
      </c>
      <c r="M272">
        <f>SUM(L272,E272,F272)</f>
        <v/>
      </c>
      <c r="N272">
        <f>IF(L272=0, -1, K272/L272)</f>
        <v/>
      </c>
      <c r="O272">
        <f>IF(M272=0, -1, K272/M272)</f>
        <v/>
      </c>
      <c r="P272">
        <f>IF(M272=0, -1, L272/M272)</f>
        <v/>
      </c>
    </row>
    <row r="273">
      <c r="A273" t="inlineStr">
        <is>
          <t>RC00391</t>
        </is>
      </c>
      <c r="B273" t="inlineStr">
        <is>
          <t>浙江万里学院</t>
        </is>
      </c>
      <c r="C273" t="n">
        <v>0</v>
      </c>
      <c r="D273" t="n">
        <v>0</v>
      </c>
      <c r="E273" t="n">
        <v>14</v>
      </c>
      <c r="F273" t="n">
        <v>26</v>
      </c>
      <c r="G273" t="n">
        <v>73728.22341031025</v>
      </c>
      <c r="H273" t="n">
        <v>203.4692838829806</v>
      </c>
      <c r="I273">
        <f>IF(H273=0, 0, G273/H273)</f>
        <v/>
      </c>
      <c r="J273">
        <f>RANK(I273, I$2:I$1111, 0)</f>
        <v/>
      </c>
      <c r="K273">
        <f>SUM(C273)</f>
        <v/>
      </c>
      <c r="L273">
        <f>SUM(K273,D273)</f>
        <v/>
      </c>
      <c r="M273">
        <f>SUM(L273,E273,F273)</f>
        <v/>
      </c>
      <c r="N273">
        <f>IF(L273=0, -1, K273/L273)</f>
        <v/>
      </c>
      <c r="O273">
        <f>IF(M273=0, -1, K273/M273)</f>
        <v/>
      </c>
      <c r="P273">
        <f>IF(M273=0, -1, L273/M273)</f>
        <v/>
      </c>
    </row>
    <row r="274">
      <c r="A274" t="inlineStr">
        <is>
          <t>RC00355</t>
        </is>
      </c>
      <c r="B274" t="inlineStr">
        <is>
          <t>盐城师范学院</t>
        </is>
      </c>
      <c r="C274" t="n">
        <v>0</v>
      </c>
      <c r="D274" t="n">
        <v>0</v>
      </c>
      <c r="E274" t="n">
        <v>5</v>
      </c>
      <c r="F274" t="n">
        <v>24</v>
      </c>
      <c r="G274" t="n">
        <v>51414.59036266886</v>
      </c>
      <c r="H274" t="n">
        <v>152.2195808635861</v>
      </c>
      <c r="I274">
        <f>IF(H274=0, 0, G274/H274)</f>
        <v/>
      </c>
      <c r="J274">
        <f>RANK(I274, I$2:I$1111, 0)</f>
        <v/>
      </c>
      <c r="K274">
        <f>SUM(C274)</f>
        <v/>
      </c>
      <c r="L274">
        <f>SUM(K274,D274)</f>
        <v/>
      </c>
      <c r="M274">
        <f>SUM(L274,E274,F274)</f>
        <v/>
      </c>
      <c r="N274">
        <f>IF(L274=0, -1, K274/L274)</f>
        <v/>
      </c>
      <c r="O274">
        <f>IF(M274=0, -1, K274/M274)</f>
        <v/>
      </c>
      <c r="P274">
        <f>IF(M274=0, -1, L274/M274)</f>
        <v/>
      </c>
    </row>
    <row r="275">
      <c r="A275" t="inlineStr">
        <is>
          <t>RC00554</t>
        </is>
      </c>
      <c r="B275" t="inlineStr">
        <is>
          <t>湖北理工学院</t>
        </is>
      </c>
      <c r="C275" t="n">
        <v>0</v>
      </c>
      <c r="D275" t="n">
        <v>0</v>
      </c>
      <c r="E275" t="n">
        <v>3</v>
      </c>
      <c r="F275" t="n">
        <v>24</v>
      </c>
      <c r="G275" t="n">
        <v>45337.70082981032</v>
      </c>
      <c r="H275" t="n">
        <v>143.3390433283415</v>
      </c>
      <c r="I275">
        <f>IF(H275=0, 0, G275/H275)</f>
        <v/>
      </c>
      <c r="J275">
        <f>RANK(I275, I$2:I$1111, 0)</f>
        <v/>
      </c>
      <c r="K275">
        <f>SUM(C275)</f>
        <v/>
      </c>
      <c r="L275">
        <f>SUM(K275,D275)</f>
        <v/>
      </c>
      <c r="M275">
        <f>SUM(L275,E275,F275)</f>
        <v/>
      </c>
      <c r="N275">
        <f>IF(L275=0, -1, K275/L275)</f>
        <v/>
      </c>
      <c r="O275">
        <f>IF(M275=0, -1, K275/M275)</f>
        <v/>
      </c>
      <c r="P275">
        <f>IF(M275=0, -1, L275/M275)</f>
        <v/>
      </c>
    </row>
    <row r="276">
      <c r="A276" t="inlineStr">
        <is>
          <t>RC00373</t>
        </is>
      </c>
      <c r="B276" t="inlineStr">
        <is>
          <t>泰州学院</t>
        </is>
      </c>
      <c r="C276" t="n">
        <v>0</v>
      </c>
      <c r="D276" t="n">
        <v>0</v>
      </c>
      <c r="E276" t="n">
        <v>3</v>
      </c>
      <c r="F276" t="n">
        <v>11</v>
      </c>
      <c r="G276" t="n">
        <v>25526.24339399648</v>
      </c>
      <c r="H276" t="n">
        <v>73.70451291856031</v>
      </c>
      <c r="I276">
        <f>IF(H276=0, 0, G276/H276)</f>
        <v/>
      </c>
      <c r="J276">
        <f>RANK(I276, I$2:I$1111, 0)</f>
        <v/>
      </c>
      <c r="K276">
        <f>SUM(C276)</f>
        <v/>
      </c>
      <c r="L276">
        <f>SUM(K276,D276)</f>
        <v/>
      </c>
      <c r="M276">
        <f>SUM(L276,E276,F276)</f>
        <v/>
      </c>
      <c r="N276">
        <f>IF(L276=0, -1, K276/L276)</f>
        <v/>
      </c>
      <c r="O276">
        <f>IF(M276=0, -1, K276/M276)</f>
        <v/>
      </c>
      <c r="P276">
        <f>IF(M276=0, -1, L276/M276)</f>
        <v/>
      </c>
    </row>
    <row r="277">
      <c r="A277" t="inlineStr">
        <is>
          <t>RC00515</t>
        </is>
      </c>
      <c r="B277" t="inlineStr">
        <is>
          <t>信阳师范大学</t>
        </is>
      </c>
      <c r="C277" t="n">
        <v>0</v>
      </c>
      <c r="D277" t="n">
        <v>0</v>
      </c>
      <c r="E277" t="n">
        <v>6</v>
      </c>
      <c r="F277" t="n">
        <v>43</v>
      </c>
      <c r="G277" t="n">
        <v>83999.94869906992</v>
      </c>
      <c r="H277" t="n">
        <v>246.7647684653736</v>
      </c>
      <c r="I277">
        <f>IF(H277=0, 0, G277/H277)</f>
        <v/>
      </c>
      <c r="J277">
        <f>RANK(I277, I$2:I$1111, 0)</f>
        <v/>
      </c>
      <c r="K277">
        <f>SUM(C277)</f>
        <v/>
      </c>
      <c r="L277">
        <f>SUM(K277,D277)</f>
        <v/>
      </c>
      <c r="M277">
        <f>SUM(L277,E277,F277)</f>
        <v/>
      </c>
      <c r="N277">
        <f>IF(L277=0, -1, K277/L277)</f>
        <v/>
      </c>
      <c r="O277">
        <f>IF(M277=0, -1, K277/M277)</f>
        <v/>
      </c>
      <c r="P277">
        <f>IF(M277=0, -1, L277/M277)</f>
        <v/>
      </c>
    </row>
    <row r="278">
      <c r="A278" t="inlineStr">
        <is>
          <t>RC00583</t>
        </is>
      </c>
      <c r="B278" t="inlineStr">
        <is>
          <t>湖南工程学院</t>
        </is>
      </c>
      <c r="C278" t="n">
        <v>0</v>
      </c>
      <c r="D278" t="n">
        <v>0</v>
      </c>
      <c r="E278" t="n">
        <v>4</v>
      </c>
      <c r="F278" t="n">
        <v>26</v>
      </c>
      <c r="G278" t="n">
        <v>48996.83258990613</v>
      </c>
      <c r="H278" t="n">
        <v>158.8145991632458</v>
      </c>
      <c r="I278">
        <f>IF(H278=0, 0, G278/H278)</f>
        <v/>
      </c>
      <c r="J278">
        <f>RANK(I278, I$2:I$1111, 0)</f>
        <v/>
      </c>
      <c r="K278">
        <f>SUM(C278)</f>
        <v/>
      </c>
      <c r="L278">
        <f>SUM(K278,D278)</f>
        <v/>
      </c>
      <c r="M278">
        <f>SUM(L278,E278,F278)</f>
        <v/>
      </c>
      <c r="N278">
        <f>IF(L278=0, -1, K278/L278)</f>
        <v/>
      </c>
      <c r="O278">
        <f>IF(M278=0, -1, K278/M278)</f>
        <v/>
      </c>
      <c r="P278">
        <f>IF(M278=0, -1, L278/M278)</f>
        <v/>
      </c>
    </row>
    <row r="279">
      <c r="A279" t="inlineStr">
        <is>
          <t>RC00436</t>
        </is>
      </c>
      <c r="B279" t="inlineStr">
        <is>
          <t>三明学院</t>
        </is>
      </c>
      <c r="C279" t="n">
        <v>0</v>
      </c>
      <c r="D279" t="n">
        <v>1</v>
      </c>
      <c r="E279" t="n">
        <v>6</v>
      </c>
      <c r="F279" t="n">
        <v>23</v>
      </c>
      <c r="G279" t="n">
        <v>50488.5979900352</v>
      </c>
      <c r="H279" t="n">
        <v>154.3502887573667</v>
      </c>
      <c r="I279">
        <f>IF(H279=0, 0, G279/H279)</f>
        <v/>
      </c>
      <c r="J279">
        <f>RANK(I279, I$2:I$1111, 0)</f>
        <v/>
      </c>
      <c r="K279">
        <f>SUM(C279)</f>
        <v/>
      </c>
      <c r="L279">
        <f>SUM(K279,D279)</f>
        <v/>
      </c>
      <c r="M279">
        <f>SUM(L279,E279,F279)</f>
        <v/>
      </c>
      <c r="N279">
        <f>IF(L279=0, -1, K279/L279)</f>
        <v/>
      </c>
      <c r="O279">
        <f>IF(M279=0, -1, K279/M279)</f>
        <v/>
      </c>
      <c r="P279">
        <f>IF(M279=0, -1, L279/M279)</f>
        <v/>
      </c>
    </row>
    <row r="280">
      <c r="A280" t="inlineStr">
        <is>
          <t>RC01103</t>
        </is>
      </c>
      <c r="B280" t="inlineStr">
        <is>
          <t>山东石油化工学院</t>
        </is>
      </c>
      <c r="C280" t="n">
        <v>0</v>
      </c>
      <c r="D280" t="n">
        <v>0</v>
      </c>
      <c r="E280" t="n">
        <v>0</v>
      </c>
      <c r="F280" t="n">
        <v>5</v>
      </c>
      <c r="G280" t="n">
        <v>6872.687868044934</v>
      </c>
      <c r="H280" t="n">
        <v>24.85201419625341</v>
      </c>
      <c r="I280">
        <f>IF(H280=0, 0, G280/H280)</f>
        <v/>
      </c>
      <c r="J280">
        <f>RANK(I280, I$2:I$1111, 0)</f>
        <v/>
      </c>
      <c r="K280">
        <f>SUM(C280)</f>
        <v/>
      </c>
      <c r="L280">
        <f>SUM(K280,D280)</f>
        <v/>
      </c>
      <c r="M280">
        <f>SUM(L280,E280,F280)</f>
        <v/>
      </c>
      <c r="N280">
        <f>IF(L280=0, -1, K280/L280)</f>
        <v/>
      </c>
      <c r="O280">
        <f>IF(M280=0, -1, K280/M280)</f>
        <v/>
      </c>
      <c r="P280">
        <f>IF(M280=0, -1, L280/M280)</f>
        <v/>
      </c>
    </row>
    <row r="281">
      <c r="A281" t="inlineStr">
        <is>
          <t>RC00418</t>
        </is>
      </c>
      <c r="B281" t="inlineStr">
        <is>
          <t>铜陵学院</t>
        </is>
      </c>
      <c r="C281" t="n">
        <v>0</v>
      </c>
      <c r="D281" t="n">
        <v>0</v>
      </c>
      <c r="E281" t="n">
        <v>6</v>
      </c>
      <c r="F281" t="n">
        <v>20</v>
      </c>
      <c r="G281" t="n">
        <v>41717.99076834288</v>
      </c>
      <c r="H281" t="n">
        <v>129.6381468861093</v>
      </c>
      <c r="I281">
        <f>IF(H281=0, 0, G281/H281)</f>
        <v/>
      </c>
      <c r="J281">
        <f>RANK(I281, I$2:I$1111, 0)</f>
        <v/>
      </c>
      <c r="K281">
        <f>SUM(C281)</f>
        <v/>
      </c>
      <c r="L281">
        <f>SUM(K281,D281)</f>
        <v/>
      </c>
      <c r="M281">
        <f>SUM(L281,E281,F281)</f>
        <v/>
      </c>
      <c r="N281">
        <f>IF(L281=0, -1, K281/L281)</f>
        <v/>
      </c>
      <c r="O281">
        <f>IF(M281=0, -1, K281/M281)</f>
        <v/>
      </c>
      <c r="P281">
        <f>IF(M281=0, -1, L281/M281)</f>
        <v/>
      </c>
    </row>
    <row r="282">
      <c r="A282" t="inlineStr">
        <is>
          <t>RC00535</t>
        </is>
      </c>
      <c r="B282" t="inlineStr">
        <is>
          <t>郑州师范学院</t>
        </is>
      </c>
      <c r="C282" t="n">
        <v>1</v>
      </c>
      <c r="D282" t="n">
        <v>0</v>
      </c>
      <c r="E282" t="n">
        <v>1</v>
      </c>
      <c r="F282" t="n">
        <v>14</v>
      </c>
      <c r="G282" t="n">
        <v>26834.58200017527</v>
      </c>
      <c r="H282" t="n">
        <v>74.26878340081275</v>
      </c>
      <c r="I282">
        <f>IF(H282=0, 0, G282/H282)</f>
        <v/>
      </c>
      <c r="J282">
        <f>RANK(I282, I$2:I$1111, 0)</f>
        <v/>
      </c>
      <c r="K282">
        <f>SUM(C282)</f>
        <v/>
      </c>
      <c r="L282">
        <f>SUM(K282,D282)</f>
        <v/>
      </c>
      <c r="M282">
        <f>SUM(L282,E282,F282)</f>
        <v/>
      </c>
      <c r="N282">
        <f>IF(L282=0, -1, K282/L282)</f>
        <v/>
      </c>
      <c r="O282">
        <f>IF(M282=0, -1, K282/M282)</f>
        <v/>
      </c>
      <c r="P282">
        <f>IF(M282=0, -1, L282/M282)</f>
        <v/>
      </c>
    </row>
    <row r="283">
      <c r="A283" t="inlineStr">
        <is>
          <t>RC00451</t>
        </is>
      </c>
      <c r="B283" t="inlineStr">
        <is>
          <t>宜春学院</t>
        </is>
      </c>
      <c r="C283" t="n">
        <v>0</v>
      </c>
      <c r="D283" t="n">
        <v>0</v>
      </c>
      <c r="E283" t="n">
        <v>0</v>
      </c>
      <c r="F283" t="n">
        <v>9</v>
      </c>
      <c r="G283" t="n">
        <v>14060.85845299373</v>
      </c>
      <c r="H283" t="n">
        <v>46.593656056345</v>
      </c>
      <c r="I283">
        <f>IF(H283=0, 0, G283/H283)</f>
        <v/>
      </c>
      <c r="J283">
        <f>RANK(I283, I$2:I$1111, 0)</f>
        <v/>
      </c>
      <c r="K283">
        <f>SUM(C283)</f>
        <v/>
      </c>
      <c r="L283">
        <f>SUM(K283,D283)</f>
        <v/>
      </c>
      <c r="M283">
        <f>SUM(L283,E283,F283)</f>
        <v/>
      </c>
      <c r="N283">
        <f>IF(L283=0, -1, K283/L283)</f>
        <v/>
      </c>
      <c r="O283">
        <f>IF(M283=0, -1, K283/M283)</f>
        <v/>
      </c>
      <c r="P283">
        <f>IF(M283=0, -1, L283/M283)</f>
        <v/>
      </c>
    </row>
    <row r="284">
      <c r="A284" t="inlineStr">
        <is>
          <t>RC00589</t>
        </is>
      </c>
      <c r="B284" t="inlineStr">
        <is>
          <t>湖南女子学院</t>
        </is>
      </c>
      <c r="C284" t="n">
        <v>0</v>
      </c>
      <c r="D284" t="n">
        <v>0</v>
      </c>
      <c r="E284" t="n">
        <v>5</v>
      </c>
      <c r="F284" t="n">
        <v>13</v>
      </c>
      <c r="G284" t="n">
        <v>32935.40913235523</v>
      </c>
      <c r="H284" t="n">
        <v>86.8695924716957</v>
      </c>
      <c r="I284">
        <f>IF(H284=0, 0, G284/H284)</f>
        <v/>
      </c>
      <c r="J284">
        <f>RANK(I284, I$2:I$1111, 0)</f>
        <v/>
      </c>
      <c r="K284">
        <f>SUM(C284)</f>
        <v/>
      </c>
      <c r="L284">
        <f>SUM(K284,D284)</f>
        <v/>
      </c>
      <c r="M284">
        <f>SUM(L284,E284,F284)</f>
        <v/>
      </c>
      <c r="N284">
        <f>IF(L284=0, -1, K284/L284)</f>
        <v/>
      </c>
      <c r="O284">
        <f>IF(M284=0, -1, K284/M284)</f>
        <v/>
      </c>
      <c r="P284">
        <f>IF(M284=0, -1, L284/M284)</f>
        <v/>
      </c>
    </row>
    <row r="285">
      <c r="A285" t="inlineStr">
        <is>
          <t>RC00236</t>
        </is>
      </c>
      <c r="B285" t="inlineStr">
        <is>
          <t>内蒙古师范大学</t>
        </is>
      </c>
      <c r="C285" t="n">
        <v>1</v>
      </c>
      <c r="D285" t="n">
        <v>4</v>
      </c>
      <c r="E285" t="n">
        <v>21</v>
      </c>
      <c r="F285" t="n">
        <v>38</v>
      </c>
      <c r="G285" t="n">
        <v>125826.2839983684</v>
      </c>
      <c r="H285" t="n">
        <v>301.7744905316898</v>
      </c>
      <c r="I285">
        <f>IF(H285=0, 0, G285/H285)</f>
        <v/>
      </c>
      <c r="J285">
        <f>RANK(I285, I$2:I$1111, 0)</f>
        <v/>
      </c>
      <c r="K285">
        <f>SUM(C285)</f>
        <v/>
      </c>
      <c r="L285">
        <f>SUM(K285,D285)</f>
        <v/>
      </c>
      <c r="M285">
        <f>SUM(L285,E285,F285)</f>
        <v/>
      </c>
      <c r="N285">
        <f>IF(L285=0, -1, K285/L285)</f>
        <v/>
      </c>
      <c r="O285">
        <f>IF(M285=0, -1, K285/M285)</f>
        <v/>
      </c>
      <c r="P285">
        <f>IF(M285=0, -1, L285/M285)</f>
        <v/>
      </c>
    </row>
    <row r="286">
      <c r="A286" t="inlineStr">
        <is>
          <t>RC00322</t>
        </is>
      </c>
      <c r="B286" t="inlineStr">
        <is>
          <t>哈尔滨金融学院</t>
        </is>
      </c>
      <c r="C286" t="n">
        <v>0</v>
      </c>
      <c r="D286" t="n">
        <v>0</v>
      </c>
      <c r="E286" t="n">
        <v>0</v>
      </c>
      <c r="F286" t="n">
        <v>12</v>
      </c>
      <c r="G286" t="n">
        <v>17778.20432626217</v>
      </c>
      <c r="H286" t="n">
        <v>61.40800423550542</v>
      </c>
      <c r="I286">
        <f>IF(H286=0, 0, G286/H286)</f>
        <v/>
      </c>
      <c r="J286">
        <f>RANK(I286, I$2:I$1111, 0)</f>
        <v/>
      </c>
      <c r="K286">
        <f>SUM(C286)</f>
        <v/>
      </c>
      <c r="L286">
        <f>SUM(K286,D286)</f>
        <v/>
      </c>
      <c r="M286">
        <f>SUM(L286,E286,F286)</f>
        <v/>
      </c>
      <c r="N286">
        <f>IF(L286=0, -1, K286/L286)</f>
        <v/>
      </c>
      <c r="O286">
        <f>IF(M286=0, -1, K286/M286)</f>
        <v/>
      </c>
      <c r="P286">
        <f>IF(M286=0, -1, L286/M286)</f>
        <v/>
      </c>
    </row>
    <row r="287">
      <c r="A287" t="inlineStr">
        <is>
          <t>RC00738</t>
        </is>
      </c>
      <c r="B287" t="inlineStr">
        <is>
          <t>宝鸡文理学院</t>
        </is>
      </c>
      <c r="C287" t="n">
        <v>0</v>
      </c>
      <c r="D287" t="n">
        <v>0</v>
      </c>
      <c r="E287" t="n">
        <v>3</v>
      </c>
      <c r="F287" t="n">
        <v>18</v>
      </c>
      <c r="G287" t="n">
        <v>34821.04066629153</v>
      </c>
      <c r="H287" t="n">
        <v>109.8808890512742</v>
      </c>
      <c r="I287">
        <f>IF(H287=0, 0, G287/H287)</f>
        <v/>
      </c>
      <c r="J287">
        <f>RANK(I287, I$2:I$1111, 0)</f>
        <v/>
      </c>
      <c r="K287">
        <f>SUM(C287)</f>
        <v/>
      </c>
      <c r="L287">
        <f>SUM(K287,D287)</f>
        <v/>
      </c>
      <c r="M287">
        <f>SUM(L287,E287,F287)</f>
        <v/>
      </c>
      <c r="N287">
        <f>IF(L287=0, -1, K287/L287)</f>
        <v/>
      </c>
      <c r="O287">
        <f>IF(M287=0, -1, K287/M287)</f>
        <v/>
      </c>
      <c r="P287">
        <f>IF(M287=0, -1, L287/M287)</f>
        <v/>
      </c>
    </row>
    <row r="288">
      <c r="A288" t="inlineStr">
        <is>
          <t>RC00805</t>
        </is>
      </c>
      <c r="B288" t="inlineStr">
        <is>
          <t>河南财政金融学院</t>
        </is>
      </c>
      <c r="C288" t="n">
        <v>0</v>
      </c>
      <c r="D288" t="n">
        <v>0</v>
      </c>
      <c r="E288" t="n">
        <v>3</v>
      </c>
      <c r="F288" t="n">
        <v>17</v>
      </c>
      <c r="G288" t="n">
        <v>30687.63405106674</v>
      </c>
      <c r="H288" t="n">
        <v>96.81739933327326</v>
      </c>
      <c r="I288">
        <f>IF(H288=0, 0, G288/H288)</f>
        <v/>
      </c>
      <c r="J288">
        <f>RANK(I288, I$2:I$1111, 0)</f>
        <v/>
      </c>
      <c r="K288">
        <f>SUM(C288)</f>
        <v/>
      </c>
      <c r="L288">
        <f>SUM(K288,D288)</f>
        <v/>
      </c>
      <c r="M288">
        <f>SUM(L288,E288,F288)</f>
        <v/>
      </c>
      <c r="N288">
        <f>IF(L288=0, -1, K288/L288)</f>
        <v/>
      </c>
      <c r="O288">
        <f>IF(M288=0, -1, K288/M288)</f>
        <v/>
      </c>
      <c r="P288">
        <f>IF(M288=0, -1, L288/M288)</f>
        <v/>
      </c>
    </row>
    <row r="289">
      <c r="A289" t="inlineStr">
        <is>
          <t>RC00739</t>
        </is>
      </c>
      <c r="B289" t="inlineStr">
        <is>
          <t>咸阳师范学院</t>
        </is>
      </c>
      <c r="C289" t="n">
        <v>0</v>
      </c>
      <c r="D289" t="n">
        <v>0</v>
      </c>
      <c r="E289" t="n">
        <v>1</v>
      </c>
      <c r="F289" t="n">
        <v>11</v>
      </c>
      <c r="G289" t="n">
        <v>20818.4238051065</v>
      </c>
      <c r="H289" t="n">
        <v>61.30333787538211</v>
      </c>
      <c r="I289">
        <f>IF(H289=0, 0, G289/H289)</f>
        <v/>
      </c>
      <c r="J289">
        <f>RANK(I289, I$2:I$1111, 0)</f>
        <v/>
      </c>
      <c r="K289">
        <f>SUM(C289)</f>
        <v/>
      </c>
      <c r="L289">
        <f>SUM(K289,D289)</f>
        <v/>
      </c>
      <c r="M289">
        <f>SUM(L289,E289,F289)</f>
        <v/>
      </c>
      <c r="N289">
        <f>IF(L289=0, -1, K289/L289)</f>
        <v/>
      </c>
      <c r="O289">
        <f>IF(M289=0, -1, K289/M289)</f>
        <v/>
      </c>
      <c r="P289">
        <f>IF(M289=0, -1, L289/M289)</f>
        <v/>
      </c>
    </row>
    <row r="290">
      <c r="A290" t="inlineStr">
        <is>
          <t>RC00519</t>
        </is>
      </c>
      <c r="B290" t="inlineStr">
        <is>
          <t>南阳师范学院</t>
        </is>
      </c>
      <c r="C290" t="n">
        <v>0</v>
      </c>
      <c r="D290" t="n">
        <v>0</v>
      </c>
      <c r="E290" t="n">
        <v>2</v>
      </c>
      <c r="F290" t="n">
        <v>29</v>
      </c>
      <c r="G290" t="n">
        <v>49270.51792486494</v>
      </c>
      <c r="H290" t="n">
        <v>153.8383460640868</v>
      </c>
      <c r="I290">
        <f>IF(H290=0, 0, G290/H290)</f>
        <v/>
      </c>
      <c r="J290">
        <f>RANK(I290, I$2:I$1111, 0)</f>
        <v/>
      </c>
      <c r="K290">
        <f>SUM(C290)</f>
        <v/>
      </c>
      <c r="L290">
        <f>SUM(K290,D290)</f>
        <v/>
      </c>
      <c r="M290">
        <f>SUM(L290,E290,F290)</f>
        <v/>
      </c>
      <c r="N290">
        <f>IF(L290=0, -1, K290/L290)</f>
        <v/>
      </c>
      <c r="O290">
        <f>IF(M290=0, -1, K290/M290)</f>
        <v/>
      </c>
      <c r="P290">
        <f>IF(M290=0, -1, L290/M290)</f>
        <v/>
      </c>
    </row>
    <row r="291">
      <c r="A291" t="inlineStr">
        <is>
          <t>RC00501</t>
        </is>
      </c>
      <c r="B291" t="inlineStr">
        <is>
          <t>山东管理学院</t>
        </is>
      </c>
      <c r="C291" t="n">
        <v>0</v>
      </c>
      <c r="D291" t="n">
        <v>0</v>
      </c>
      <c r="E291" t="n">
        <v>2</v>
      </c>
      <c r="F291" t="n">
        <v>11</v>
      </c>
      <c r="G291" t="n">
        <v>20358.78915129834</v>
      </c>
      <c r="H291" t="n">
        <v>58.17788318686295</v>
      </c>
      <c r="I291">
        <f>IF(H291=0, 0, G291/H291)</f>
        <v/>
      </c>
      <c r="J291">
        <f>RANK(I291, I$2:I$1111, 0)</f>
        <v/>
      </c>
      <c r="K291">
        <f>SUM(C291)</f>
        <v/>
      </c>
      <c r="L291">
        <f>SUM(K291,D291)</f>
        <v/>
      </c>
      <c r="M291">
        <f>SUM(L291,E291,F291)</f>
        <v/>
      </c>
      <c r="N291">
        <f>IF(L291=0, -1, K291/L291)</f>
        <v/>
      </c>
      <c r="O291">
        <f>IF(M291=0, -1, K291/M291)</f>
        <v/>
      </c>
      <c r="P291">
        <f>IF(M291=0, -1, L291/M291)</f>
        <v/>
      </c>
    </row>
    <row r="292">
      <c r="A292" t="inlineStr">
        <is>
          <t>RC00196</t>
        </is>
      </c>
      <c r="B292" t="inlineStr">
        <is>
          <t>邯郸学院</t>
        </is>
      </c>
      <c r="C292" t="n">
        <v>0</v>
      </c>
      <c r="D292" t="n">
        <v>0</v>
      </c>
      <c r="E292" t="n">
        <v>0</v>
      </c>
      <c r="F292" t="n">
        <v>5</v>
      </c>
      <c r="G292" t="n">
        <v>7513.831330801903</v>
      </c>
      <c r="H292" t="n">
        <v>27.66022460161575</v>
      </c>
      <c r="I292">
        <f>IF(H292=0, 0, G292/H292)</f>
        <v/>
      </c>
      <c r="J292">
        <f>RANK(I292, I$2:I$1111, 0)</f>
        <v/>
      </c>
      <c r="K292">
        <f>SUM(C292)</f>
        <v/>
      </c>
      <c r="L292">
        <f>SUM(K292,D292)</f>
        <v/>
      </c>
      <c r="M292">
        <f>SUM(L292,E292,F292)</f>
        <v/>
      </c>
      <c r="N292">
        <f>IF(L292=0, -1, K292/L292)</f>
        <v/>
      </c>
      <c r="O292">
        <f>IF(M292=0, -1, K292/M292)</f>
        <v/>
      </c>
      <c r="P292">
        <f>IF(M292=0, -1, L292/M292)</f>
        <v/>
      </c>
    </row>
    <row r="293">
      <c r="A293" t="inlineStr">
        <is>
          <t>RC00579</t>
        </is>
      </c>
      <c r="B293" t="inlineStr">
        <is>
          <t>湖南人文科技学院</t>
        </is>
      </c>
      <c r="C293" t="n">
        <v>0</v>
      </c>
      <c r="D293" t="n">
        <v>0</v>
      </c>
      <c r="E293" t="n">
        <v>3</v>
      </c>
      <c r="F293" t="n">
        <v>9</v>
      </c>
      <c r="G293" t="n">
        <v>21343.58899418402</v>
      </c>
      <c r="H293" t="n">
        <v>63.26320035806684</v>
      </c>
      <c r="I293">
        <f>IF(H293=0, 0, G293/H293)</f>
        <v/>
      </c>
      <c r="J293">
        <f>RANK(I293, I$2:I$1111, 0)</f>
        <v/>
      </c>
      <c r="K293">
        <f>SUM(C293)</f>
        <v/>
      </c>
      <c r="L293">
        <f>SUM(K293,D293)</f>
        <v/>
      </c>
      <c r="M293">
        <f>SUM(L293,E293,F293)</f>
        <v/>
      </c>
      <c r="N293">
        <f>IF(L293=0, -1, K293/L293)</f>
        <v/>
      </c>
      <c r="O293">
        <f>IF(M293=0, -1, K293/M293)</f>
        <v/>
      </c>
      <c r="P293">
        <f>IF(M293=0, -1, L293/M293)</f>
        <v/>
      </c>
    </row>
    <row r="294">
      <c r="A294" t="inlineStr">
        <is>
          <t>RC00560</t>
        </is>
      </c>
      <c r="B294" t="inlineStr">
        <is>
          <t>荆楚理工学院</t>
        </is>
      </c>
      <c r="C294" t="n">
        <v>0</v>
      </c>
      <c r="D294" t="n">
        <v>0</v>
      </c>
      <c r="E294" t="n">
        <v>1</v>
      </c>
      <c r="F294" t="n">
        <v>8</v>
      </c>
      <c r="G294" t="n">
        <v>13879.15742463026</v>
      </c>
      <c r="H294" t="n">
        <v>43.26453372792506</v>
      </c>
      <c r="I294">
        <f>IF(H294=0, 0, G294/H294)</f>
        <v/>
      </c>
      <c r="J294">
        <f>RANK(I294, I$2:I$1111, 0)</f>
        <v/>
      </c>
      <c r="K294">
        <f>SUM(C294)</f>
        <v/>
      </c>
      <c r="L294">
        <f>SUM(K294,D294)</f>
        <v/>
      </c>
      <c r="M294">
        <f>SUM(L294,E294,F294)</f>
        <v/>
      </c>
      <c r="N294">
        <f>IF(L294=0, -1, K294/L294)</f>
        <v/>
      </c>
      <c r="O294">
        <f>IF(M294=0, -1, K294/M294)</f>
        <v/>
      </c>
      <c r="P294">
        <f>IF(M294=0, -1, L294/M294)</f>
        <v/>
      </c>
    </row>
    <row r="295">
      <c r="A295" t="inlineStr">
        <is>
          <t>RC00502</t>
        </is>
      </c>
      <c r="B295" t="inlineStr">
        <is>
          <t>山东农业工程学院</t>
        </is>
      </c>
      <c r="C295" t="n">
        <v>1</v>
      </c>
      <c r="D295" t="n">
        <v>0</v>
      </c>
      <c r="E295" t="n">
        <v>1</v>
      </c>
      <c r="F295" t="n">
        <v>5</v>
      </c>
      <c r="G295" t="n">
        <v>9460.694093261487</v>
      </c>
      <c r="H295" t="n">
        <v>30.06919973766457</v>
      </c>
      <c r="I295">
        <f>IF(H295=0, 0, G295/H295)</f>
        <v/>
      </c>
      <c r="J295">
        <f>RANK(I295, I$2:I$1111, 0)</f>
        <v/>
      </c>
      <c r="K295">
        <f>SUM(C295)</f>
        <v/>
      </c>
      <c r="L295">
        <f>SUM(K295,D295)</f>
        <v/>
      </c>
      <c r="M295">
        <f>SUM(L295,E295,F295)</f>
        <v/>
      </c>
      <c r="N295">
        <f>IF(L295=0, -1, K295/L295)</f>
        <v/>
      </c>
      <c r="O295">
        <f>IF(M295=0, -1, K295/M295)</f>
        <v/>
      </c>
      <c r="P295">
        <f>IF(M295=0, -1, L295/M295)</f>
        <v/>
      </c>
    </row>
    <row r="296">
      <c r="A296" t="inlineStr">
        <is>
          <t>RC00639</t>
        </is>
      </c>
      <c r="B296" t="inlineStr">
        <is>
          <t>贺州学院</t>
        </is>
      </c>
      <c r="C296" t="n">
        <v>0</v>
      </c>
      <c r="D296" t="n">
        <v>0</v>
      </c>
      <c r="E296" t="n">
        <v>4</v>
      </c>
      <c r="F296" t="n">
        <v>16</v>
      </c>
      <c r="G296" t="n">
        <v>33757.20409020091</v>
      </c>
      <c r="H296" t="n">
        <v>105.5836128237857</v>
      </c>
      <c r="I296">
        <f>IF(H296=0, 0, G296/H296)</f>
        <v/>
      </c>
      <c r="J296">
        <f>RANK(I296, I$2:I$1111, 0)</f>
        <v/>
      </c>
      <c r="K296">
        <f>SUM(C296)</f>
        <v/>
      </c>
      <c r="L296">
        <f>SUM(K296,D296)</f>
        <v/>
      </c>
      <c r="M296">
        <f>SUM(L296,E296,F296)</f>
        <v/>
      </c>
      <c r="N296">
        <f>IF(L296=0, -1, K296/L296)</f>
        <v/>
      </c>
      <c r="O296">
        <f>IF(M296=0, -1, K296/M296)</f>
        <v/>
      </c>
      <c r="P296">
        <f>IF(M296=0, -1, L296/M296)</f>
        <v/>
      </c>
    </row>
    <row r="297">
      <c r="A297" t="inlineStr">
        <is>
          <t>RC00597</t>
        </is>
      </c>
      <c r="B297" t="inlineStr">
        <is>
          <t>韶关学院</t>
        </is>
      </c>
      <c r="C297" t="n">
        <v>0</v>
      </c>
      <c r="D297" t="n">
        <v>0</v>
      </c>
      <c r="E297" t="n">
        <v>0</v>
      </c>
      <c r="F297" t="n">
        <v>15</v>
      </c>
      <c r="G297" t="n">
        <v>21685.23331046785</v>
      </c>
      <c r="H297" t="n">
        <v>75.60455437553955</v>
      </c>
      <c r="I297">
        <f>IF(H297=0, 0, G297/H297)</f>
        <v/>
      </c>
      <c r="J297">
        <f>RANK(I297, I$2:I$1111, 0)</f>
        <v/>
      </c>
      <c r="K297">
        <f>SUM(C297)</f>
        <v/>
      </c>
      <c r="L297">
        <f>SUM(K297,D297)</f>
        <v/>
      </c>
      <c r="M297">
        <f>SUM(L297,E297,F297)</f>
        <v/>
      </c>
      <c r="N297">
        <f>IF(L297=0, -1, K297/L297)</f>
        <v/>
      </c>
      <c r="O297">
        <f>IF(M297=0, -1, K297/M297)</f>
        <v/>
      </c>
      <c r="P297">
        <f>IF(M297=0, -1, L297/M297)</f>
        <v/>
      </c>
    </row>
    <row r="298">
      <c r="A298" t="inlineStr">
        <is>
          <t>RC00696</t>
        </is>
      </c>
      <c r="B298" t="inlineStr">
        <is>
          <t>贵州工程应用技术学院</t>
        </is>
      </c>
      <c r="C298" t="n">
        <v>0</v>
      </c>
      <c r="D298" t="n">
        <v>0</v>
      </c>
      <c r="E298" t="n">
        <v>0</v>
      </c>
      <c r="F298" t="n">
        <v>2</v>
      </c>
      <c r="G298" t="n">
        <v>3195.118497841827</v>
      </c>
      <c r="H298" t="n">
        <v>10.41750806719864</v>
      </c>
      <c r="I298">
        <f>IF(H298=0, 0, G298/H298)</f>
        <v/>
      </c>
      <c r="J298">
        <f>RANK(I298, I$2:I$1111, 0)</f>
        <v/>
      </c>
      <c r="K298">
        <f>SUM(C298)</f>
        <v/>
      </c>
      <c r="L298">
        <f>SUM(K298,D298)</f>
        <v/>
      </c>
      <c r="M298">
        <f>SUM(L298,E298,F298)</f>
        <v/>
      </c>
      <c r="N298">
        <f>IF(L298=0, -1, K298/L298)</f>
        <v/>
      </c>
      <c r="O298">
        <f>IF(M298=0, -1, K298/M298)</f>
        <v/>
      </c>
      <c r="P298">
        <f>IF(M298=0, -1, L298/M298)</f>
        <v/>
      </c>
    </row>
    <row r="299">
      <c r="A299" t="inlineStr">
        <is>
          <t>RC00275</t>
        </is>
      </c>
      <c r="B299" t="inlineStr">
        <is>
          <t>辽宁科技学院</t>
        </is>
      </c>
      <c r="C299" t="n">
        <v>0</v>
      </c>
      <c r="D299" t="n">
        <v>0</v>
      </c>
      <c r="E299" t="n">
        <v>0</v>
      </c>
      <c r="F299" t="n">
        <v>6</v>
      </c>
      <c r="G299" t="n">
        <v>9184.304227032813</v>
      </c>
      <c r="H299" t="n">
        <v>29.84660502068106</v>
      </c>
      <c r="I299">
        <f>IF(H299=0, 0, G299/H299)</f>
        <v/>
      </c>
      <c r="J299">
        <f>RANK(I299, I$2:I$1111, 0)</f>
        <v/>
      </c>
      <c r="K299">
        <f>SUM(C299)</f>
        <v/>
      </c>
      <c r="L299">
        <f>SUM(K299,D299)</f>
        <v/>
      </c>
      <c r="M299">
        <f>SUM(L299,E299,F299)</f>
        <v/>
      </c>
      <c r="N299">
        <f>IF(L299=0, -1, K299/L299)</f>
        <v/>
      </c>
      <c r="O299">
        <f>IF(M299=0, -1, K299/M299)</f>
        <v/>
      </c>
      <c r="P299">
        <f>IF(M299=0, -1, L299/M299)</f>
        <v/>
      </c>
    </row>
    <row r="300">
      <c r="A300" t="inlineStr">
        <is>
          <t>RC00480</t>
        </is>
      </c>
      <c r="B300" t="inlineStr">
        <is>
          <t>德州学院</t>
        </is>
      </c>
      <c r="C300" t="n">
        <v>0</v>
      </c>
      <c r="D300" t="n">
        <v>0</v>
      </c>
      <c r="E300" t="n">
        <v>1</v>
      </c>
      <c r="F300" t="n">
        <v>9</v>
      </c>
      <c r="G300" t="n">
        <v>17240.27317966863</v>
      </c>
      <c r="H300" t="n">
        <v>52.64185384762342</v>
      </c>
      <c r="I300">
        <f>IF(H300=0, 0, G300/H300)</f>
        <v/>
      </c>
      <c r="J300">
        <f>RANK(I300, I$2:I$1111, 0)</f>
        <v/>
      </c>
      <c r="K300">
        <f>SUM(C300)</f>
        <v/>
      </c>
      <c r="L300">
        <f>SUM(K300,D300)</f>
        <v/>
      </c>
      <c r="M300">
        <f>SUM(L300,E300,F300)</f>
        <v/>
      </c>
      <c r="N300">
        <f>IF(L300=0, -1, K300/L300)</f>
        <v/>
      </c>
      <c r="O300">
        <f>IF(M300=0, -1, K300/M300)</f>
        <v/>
      </c>
      <c r="P300">
        <f>IF(M300=0, -1, L300/M300)</f>
        <v/>
      </c>
    </row>
    <row r="301">
      <c r="A301" t="inlineStr">
        <is>
          <t>RC00784</t>
        </is>
      </c>
      <c r="B301" t="inlineStr">
        <is>
          <t>伊犁师范大学</t>
        </is>
      </c>
      <c r="C301" t="n">
        <v>0</v>
      </c>
      <c r="D301" t="n">
        <v>0</v>
      </c>
      <c r="E301" t="n">
        <v>0</v>
      </c>
      <c r="F301" t="n">
        <v>16</v>
      </c>
      <c r="G301" t="n">
        <v>25555.82135360278</v>
      </c>
      <c r="H301" t="n">
        <v>77.9168360003188</v>
      </c>
      <c r="I301">
        <f>IF(H301=0, 0, G301/H301)</f>
        <v/>
      </c>
      <c r="J301">
        <f>RANK(I301, I$2:I$1111, 0)</f>
        <v/>
      </c>
      <c r="K301">
        <f>SUM(C301)</f>
        <v/>
      </c>
      <c r="L301">
        <f>SUM(K301,D301)</f>
        <v/>
      </c>
      <c r="M301">
        <f>SUM(L301,E301,F301)</f>
        <v/>
      </c>
      <c r="N301">
        <f>IF(L301=0, -1, K301/L301)</f>
        <v/>
      </c>
      <c r="O301">
        <f>IF(M301=0, -1, K301/M301)</f>
        <v/>
      </c>
      <c r="P301">
        <f>IF(M301=0, -1, L301/M301)</f>
        <v/>
      </c>
    </row>
    <row r="302">
      <c r="A302" t="inlineStr">
        <is>
          <t>RC00461</t>
        </is>
      </c>
      <c r="B302" t="inlineStr">
        <is>
          <t>九江学院</t>
        </is>
      </c>
      <c r="C302" t="n">
        <v>0</v>
      </c>
      <c r="D302" t="n">
        <v>0</v>
      </c>
      <c r="E302" t="n">
        <v>2</v>
      </c>
      <c r="F302" t="n">
        <v>11</v>
      </c>
      <c r="G302" t="n">
        <v>22308.94275804124</v>
      </c>
      <c r="H302" t="n">
        <v>68.16932148667955</v>
      </c>
      <c r="I302">
        <f>IF(H302=0, 0, G302/H302)</f>
        <v/>
      </c>
      <c r="J302">
        <f>RANK(I302, I$2:I$1111, 0)</f>
        <v/>
      </c>
      <c r="K302">
        <f>SUM(C302)</f>
        <v/>
      </c>
      <c r="L302">
        <f>SUM(K302,D302)</f>
        <v/>
      </c>
      <c r="M302">
        <f>SUM(L302,E302,F302)</f>
        <v/>
      </c>
      <c r="N302">
        <f>IF(L302=0, -1, K302/L302)</f>
        <v/>
      </c>
      <c r="O302">
        <f>IF(M302=0, -1, K302/M302)</f>
        <v/>
      </c>
      <c r="P302">
        <f>IF(M302=0, -1, L302/M302)</f>
        <v/>
      </c>
    </row>
    <row r="303">
      <c r="A303" t="inlineStr">
        <is>
          <t>RC01094</t>
        </is>
      </c>
      <c r="B303" t="inlineStr">
        <is>
          <t>赣南科技学院</t>
        </is>
      </c>
      <c r="C303" t="n">
        <v>0</v>
      </c>
      <c r="D303" t="n">
        <v>0</v>
      </c>
      <c r="E303" t="n">
        <v>0</v>
      </c>
      <c r="F303" t="n">
        <v>3</v>
      </c>
      <c r="G303" t="n">
        <v>4790.566736169701</v>
      </c>
      <c r="H303" t="n">
        <v>15.56727269254663</v>
      </c>
      <c r="I303">
        <f>IF(H303=0, 0, G303/H303)</f>
        <v/>
      </c>
      <c r="J303">
        <f>RANK(I303, I$2:I$1111, 0)</f>
        <v/>
      </c>
      <c r="K303">
        <f>SUM(C303)</f>
        <v/>
      </c>
      <c r="L303">
        <f>SUM(K303,D303)</f>
        <v/>
      </c>
      <c r="M303">
        <f>SUM(L303,E303,F303)</f>
        <v/>
      </c>
      <c r="N303">
        <f>IF(L303=0, -1, K303/L303)</f>
        <v/>
      </c>
      <c r="O303">
        <f>IF(M303=0, -1, K303/M303)</f>
        <v/>
      </c>
      <c r="P303">
        <f>IF(M303=0, -1, L303/M303)</f>
        <v/>
      </c>
    </row>
    <row r="304">
      <c r="A304" t="inlineStr">
        <is>
          <t>RC00816</t>
        </is>
      </c>
      <c r="B304" t="inlineStr">
        <is>
          <t>广西职业师范学院</t>
        </is>
      </c>
      <c r="C304" t="n">
        <v>0</v>
      </c>
      <c r="D304" t="n">
        <v>0</v>
      </c>
      <c r="E304" t="n">
        <v>1</v>
      </c>
      <c r="F304" t="n">
        <v>4</v>
      </c>
      <c r="G304" t="n">
        <v>7216.508904972827</v>
      </c>
      <c r="H304" t="n">
        <v>24.37616314057723</v>
      </c>
      <c r="I304">
        <f>IF(H304=0, 0, G304/H304)</f>
        <v/>
      </c>
      <c r="J304">
        <f>RANK(I304, I$2:I$1111, 0)</f>
        <v/>
      </c>
      <c r="K304">
        <f>SUM(C304)</f>
        <v/>
      </c>
      <c r="L304">
        <f>SUM(K304,D304)</f>
        <v/>
      </c>
      <c r="M304">
        <f>SUM(L304,E304,F304)</f>
        <v/>
      </c>
      <c r="N304">
        <f>IF(L304=0, -1, K304/L304)</f>
        <v/>
      </c>
      <c r="O304">
        <f>IF(M304=0, -1, K304/M304)</f>
        <v/>
      </c>
      <c r="P304">
        <f>IF(M304=0, -1, L304/M304)</f>
        <v/>
      </c>
    </row>
    <row r="305">
      <c r="A305" t="inlineStr">
        <is>
          <t>RC00799</t>
        </is>
      </c>
      <c r="B305" t="inlineStr">
        <is>
          <t>贵州商学院</t>
        </is>
      </c>
      <c r="C305" t="n">
        <v>0</v>
      </c>
      <c r="D305" t="n">
        <v>0</v>
      </c>
      <c r="E305" t="n">
        <v>0</v>
      </c>
      <c r="F305" t="n">
        <v>12</v>
      </c>
      <c r="G305" t="n">
        <v>18610.40250725892</v>
      </c>
      <c r="H305" t="n">
        <v>60.823165359667</v>
      </c>
      <c r="I305">
        <f>IF(H305=0, 0, G305/H305)</f>
        <v/>
      </c>
      <c r="J305">
        <f>RANK(I305, I$2:I$1111, 0)</f>
        <v/>
      </c>
      <c r="K305">
        <f>SUM(C305)</f>
        <v/>
      </c>
      <c r="L305">
        <f>SUM(K305,D305)</f>
        <v/>
      </c>
      <c r="M305">
        <f>SUM(L305,E305,F305)</f>
        <v/>
      </c>
      <c r="N305">
        <f>IF(L305=0, -1, K305/L305)</f>
        <v/>
      </c>
      <c r="O305">
        <f>IF(M305=0, -1, K305/M305)</f>
        <v/>
      </c>
      <c r="P305">
        <f>IF(M305=0, -1, L305/M305)</f>
        <v/>
      </c>
    </row>
    <row r="306">
      <c r="A306" t="inlineStr">
        <is>
          <t>RC01072</t>
        </is>
      </c>
      <c r="B306" t="inlineStr">
        <is>
          <t>合肥经济学院</t>
        </is>
      </c>
      <c r="C306" t="n">
        <v>0</v>
      </c>
      <c r="D306" t="n">
        <v>0</v>
      </c>
      <c r="E306" t="n">
        <v>0</v>
      </c>
      <c r="F306" t="n">
        <v>9</v>
      </c>
      <c r="G306" t="n">
        <v>12808.22433089229</v>
      </c>
      <c r="H306" t="n">
        <v>44.90725714199245</v>
      </c>
      <c r="I306">
        <f>IF(H306=0, 0, G306/H306)</f>
        <v/>
      </c>
      <c r="J306">
        <f>RANK(I306, I$2:I$1111, 0)</f>
        <v/>
      </c>
      <c r="K306">
        <f>SUM(C306)</f>
        <v/>
      </c>
      <c r="L306">
        <f>SUM(K306,D306)</f>
        <v/>
      </c>
      <c r="M306">
        <f>SUM(L306,E306,F306)</f>
        <v/>
      </c>
      <c r="N306">
        <f>IF(L306=0, -1, K306/L306)</f>
        <v/>
      </c>
      <c r="O306">
        <f>IF(M306=0, -1, K306/M306)</f>
        <v/>
      </c>
      <c r="P306">
        <f>IF(M306=0, -1, L306/M306)</f>
        <v/>
      </c>
    </row>
    <row r="307">
      <c r="A307" t="inlineStr">
        <is>
          <t>RC00937</t>
        </is>
      </c>
      <c r="B307" t="inlineStr">
        <is>
          <t>成都文理学院</t>
        </is>
      </c>
      <c r="C307" t="n">
        <v>0</v>
      </c>
      <c r="D307" t="n">
        <v>0</v>
      </c>
      <c r="E307" t="n">
        <v>2</v>
      </c>
      <c r="F307" t="n">
        <v>4</v>
      </c>
      <c r="G307" t="n">
        <v>9147.029465748728</v>
      </c>
      <c r="H307" t="n">
        <v>27.3063808070206</v>
      </c>
      <c r="I307">
        <f>IF(H307=0, 0, G307/H307)</f>
        <v/>
      </c>
      <c r="J307">
        <f>RANK(I307, I$2:I$1111, 0)</f>
        <v/>
      </c>
      <c r="K307">
        <f>SUM(C307)</f>
        <v/>
      </c>
      <c r="L307">
        <f>SUM(K307,D307)</f>
        <v/>
      </c>
      <c r="M307">
        <f>SUM(L307,E307,F307)</f>
        <v/>
      </c>
      <c r="N307">
        <f>IF(L307=0, -1, K307/L307)</f>
        <v/>
      </c>
      <c r="O307">
        <f>IF(M307=0, -1, K307/M307)</f>
        <v/>
      </c>
      <c r="P307">
        <f>IF(M307=0, -1, L307/M307)</f>
        <v/>
      </c>
    </row>
    <row r="308">
      <c r="A308" t="inlineStr">
        <is>
          <t>RC00326</t>
        </is>
      </c>
      <c r="B308" t="inlineStr">
        <is>
          <t>黑河学院</t>
        </is>
      </c>
      <c r="C308" t="n">
        <v>0</v>
      </c>
      <c r="D308" t="n">
        <v>0</v>
      </c>
      <c r="E308" t="n">
        <v>1</v>
      </c>
      <c r="F308" t="n">
        <v>8</v>
      </c>
      <c r="G308" t="n">
        <v>14607.32915667529</v>
      </c>
      <c r="H308" t="n">
        <v>43.64838049387073</v>
      </c>
      <c r="I308">
        <f>IF(H308=0, 0, G308/H308)</f>
        <v/>
      </c>
      <c r="J308">
        <f>RANK(I308, I$2:I$1111, 0)</f>
        <v/>
      </c>
      <c r="K308">
        <f>SUM(C308)</f>
        <v/>
      </c>
      <c r="L308">
        <f>SUM(K308,D308)</f>
        <v/>
      </c>
      <c r="M308">
        <f>SUM(L308,E308,F308)</f>
        <v/>
      </c>
      <c r="N308">
        <f>IF(L308=0, -1, K308/L308)</f>
        <v/>
      </c>
      <c r="O308">
        <f>IF(M308=0, -1, K308/M308)</f>
        <v/>
      </c>
      <c r="P308">
        <f>IF(M308=0, -1, L308/M308)</f>
        <v/>
      </c>
    </row>
    <row r="309">
      <c r="A309" t="inlineStr">
        <is>
          <t>RC01199</t>
        </is>
      </c>
      <c r="B309" t="inlineStr">
        <is>
          <t>四川大学锦江学院</t>
        </is>
      </c>
      <c r="C309" t="n">
        <v>0</v>
      </c>
      <c r="D309" t="n">
        <v>0</v>
      </c>
      <c r="E309" t="n">
        <v>1</v>
      </c>
      <c r="F309" t="n">
        <v>6</v>
      </c>
      <c r="G309" t="n">
        <v>8371.871753467545</v>
      </c>
      <c r="H309" t="n">
        <v>28.52370162886603</v>
      </c>
      <c r="I309">
        <f>IF(H309=0, 0, G309/H309)</f>
        <v/>
      </c>
      <c r="J309">
        <f>RANK(I309, I$2:I$1111, 0)</f>
        <v/>
      </c>
      <c r="K309">
        <f>SUM(C309)</f>
        <v/>
      </c>
      <c r="L309">
        <f>SUM(K309,D309)</f>
        <v/>
      </c>
      <c r="M309">
        <f>SUM(L309,E309,F309)</f>
        <v/>
      </c>
      <c r="N309">
        <f>IF(L309=0, -1, K309/L309)</f>
        <v/>
      </c>
      <c r="O309">
        <f>IF(M309=0, -1, K309/M309)</f>
        <v/>
      </c>
      <c r="P309">
        <f>IF(M309=0, -1, L309/M309)</f>
        <v/>
      </c>
    </row>
    <row r="310">
      <c r="A310" t="inlineStr">
        <is>
          <t>RC00635</t>
        </is>
      </c>
      <c r="B310" t="inlineStr">
        <is>
          <t>梧州学院</t>
        </is>
      </c>
      <c r="C310" t="n">
        <v>0</v>
      </c>
      <c r="D310" t="n">
        <v>0</v>
      </c>
      <c r="E310" t="n">
        <v>1</v>
      </c>
      <c r="F310" t="n">
        <v>8</v>
      </c>
      <c r="G310" t="n">
        <v>15061.43922898059</v>
      </c>
      <c r="H310" t="n">
        <v>48.79576653504108</v>
      </c>
      <c r="I310">
        <f>IF(H310=0, 0, G310/H310)</f>
        <v/>
      </c>
      <c r="J310">
        <f>RANK(I310, I$2:I$1111, 0)</f>
        <v/>
      </c>
      <c r="K310">
        <f>SUM(C310)</f>
        <v/>
      </c>
      <c r="L310">
        <f>SUM(K310,D310)</f>
        <v/>
      </c>
      <c r="M310">
        <f>SUM(L310,E310,F310)</f>
        <v/>
      </c>
      <c r="N310">
        <f>IF(L310=0, -1, K310/L310)</f>
        <v/>
      </c>
      <c r="O310">
        <f>IF(M310=0, -1, K310/M310)</f>
        <v/>
      </c>
      <c r="P310">
        <f>IF(M310=0, -1, L310/M310)</f>
        <v/>
      </c>
    </row>
    <row r="311">
      <c r="A311" t="inlineStr">
        <is>
          <t>RC00327</t>
        </is>
      </c>
      <c r="B311" t="inlineStr">
        <is>
          <t>上海理工大学</t>
        </is>
      </c>
      <c r="C311" t="n">
        <v>2</v>
      </c>
      <c r="D311" t="n">
        <v>6</v>
      </c>
      <c r="E311" t="n">
        <v>42</v>
      </c>
      <c r="F311" t="n">
        <v>9</v>
      </c>
      <c r="G311" t="n">
        <v>154153.4002701674</v>
      </c>
      <c r="H311" t="n">
        <v>282.6038899498616</v>
      </c>
      <c r="I311">
        <f>IF(H311=0, 0, G311/H311)</f>
        <v/>
      </c>
      <c r="J311">
        <f>RANK(I311, I$2:I$1111, 0)</f>
        <v/>
      </c>
      <c r="K311">
        <f>SUM(C311)</f>
        <v/>
      </c>
      <c r="L311">
        <f>SUM(K311,D311)</f>
        <v/>
      </c>
      <c r="M311">
        <f>SUM(L311,E311,F311)</f>
        <v/>
      </c>
      <c r="N311">
        <f>IF(L311=0, -1, K311/L311)</f>
        <v/>
      </c>
      <c r="O311">
        <f>IF(M311=0, -1, K311/M311)</f>
        <v/>
      </c>
      <c r="P311">
        <f>IF(M311=0, -1, L311/M311)</f>
        <v/>
      </c>
    </row>
    <row r="312">
      <c r="A312" t="inlineStr">
        <is>
          <t>RC00539</t>
        </is>
      </c>
      <c r="B312" t="inlineStr">
        <is>
          <t>武汉纺织大学</t>
        </is>
      </c>
      <c r="C312" t="n">
        <v>0</v>
      </c>
      <c r="D312" t="n">
        <v>6</v>
      </c>
      <c r="E312" t="n">
        <v>34</v>
      </c>
      <c r="F312" t="n">
        <v>17</v>
      </c>
      <c r="G312" t="n">
        <v>133163.9988015839</v>
      </c>
      <c r="H312" t="n">
        <v>284.1033583626488</v>
      </c>
      <c r="I312">
        <f>IF(H312=0, 0, G312/H312)</f>
        <v/>
      </c>
      <c r="J312">
        <f>RANK(I312, I$2:I$1111, 0)</f>
        <v/>
      </c>
      <c r="K312">
        <f>SUM(C312)</f>
        <v/>
      </c>
      <c r="L312">
        <f>SUM(K312,D312)</f>
        <v/>
      </c>
      <c r="M312">
        <f>SUM(L312,E312,F312)</f>
        <v/>
      </c>
      <c r="N312">
        <f>IF(L312=0, -1, K312/L312)</f>
        <v/>
      </c>
      <c r="O312">
        <f>IF(M312=0, -1, K312/M312)</f>
        <v/>
      </c>
      <c r="P312">
        <f>IF(M312=0, -1, L312/M312)</f>
        <v/>
      </c>
    </row>
    <row r="313">
      <c r="A313" t="inlineStr">
        <is>
          <t>RC00773</t>
        </is>
      </c>
      <c r="B313" t="inlineStr">
        <is>
          <t>北方民族大学</t>
        </is>
      </c>
      <c r="C313" t="n">
        <v>0</v>
      </c>
      <c r="D313" t="n">
        <v>0</v>
      </c>
      <c r="E313" t="n">
        <v>10</v>
      </c>
      <c r="F313" t="n">
        <v>32</v>
      </c>
      <c r="G313" t="n">
        <v>77960.58606818269</v>
      </c>
      <c r="H313" t="n">
        <v>215.9503828120919</v>
      </c>
      <c r="I313">
        <f>IF(H313=0, 0, G313/H313)</f>
        <v/>
      </c>
      <c r="J313">
        <f>RANK(I313, I$2:I$1111, 0)</f>
        <v/>
      </c>
      <c r="K313">
        <f>SUM(C313)</f>
        <v/>
      </c>
      <c r="L313">
        <f>SUM(K313,D313)</f>
        <v/>
      </c>
      <c r="M313">
        <f>SUM(L313,E313,F313)</f>
        <v/>
      </c>
      <c r="N313">
        <f>IF(L313=0, -1, K313/L313)</f>
        <v/>
      </c>
      <c r="O313">
        <f>IF(M313=0, -1, K313/M313)</f>
        <v/>
      </c>
      <c r="P313">
        <f>IF(M313=0, -1, L313/M313)</f>
        <v/>
      </c>
    </row>
    <row r="314">
      <c r="A314" t="inlineStr">
        <is>
          <t>RC00345</t>
        </is>
      </c>
      <c r="B314" t="inlineStr">
        <is>
          <t>上海第二工业大学</t>
        </is>
      </c>
      <c r="C314" t="n">
        <v>0</v>
      </c>
      <c r="D314" t="n">
        <v>0</v>
      </c>
      <c r="E314" t="n">
        <v>21</v>
      </c>
      <c r="F314" t="n">
        <v>18</v>
      </c>
      <c r="G314" t="n">
        <v>78945.8797759304</v>
      </c>
      <c r="H314" t="n">
        <v>190.2118557252515</v>
      </c>
      <c r="I314">
        <f>IF(H314=0, 0, G314/H314)</f>
        <v/>
      </c>
      <c r="J314">
        <f>RANK(I314, I$2:I$1111, 0)</f>
        <v/>
      </c>
      <c r="K314">
        <f>SUM(C314)</f>
        <v/>
      </c>
      <c r="L314">
        <f>SUM(K314,D314)</f>
        <v/>
      </c>
      <c r="M314">
        <f>SUM(L314,E314,F314)</f>
        <v/>
      </c>
      <c r="N314">
        <f>IF(L314=0, -1, K314/L314)</f>
        <v/>
      </c>
      <c r="O314">
        <f>IF(M314=0, -1, K314/M314)</f>
        <v/>
      </c>
      <c r="P314">
        <f>IF(M314=0, -1, L314/M314)</f>
        <v/>
      </c>
    </row>
    <row r="315">
      <c r="A315" t="inlineStr">
        <is>
          <t>RC01043</t>
        </is>
      </c>
      <c r="B315" t="inlineStr">
        <is>
          <t>南京财经大学红山学院</t>
        </is>
      </c>
      <c r="C315" t="n">
        <v>0</v>
      </c>
      <c r="D315" t="n">
        <v>0</v>
      </c>
      <c r="E315" t="n">
        <v>0</v>
      </c>
      <c r="F315" t="n">
        <v>3</v>
      </c>
      <c r="G315" t="n">
        <v>4106.111015613462</v>
      </c>
      <c r="H315" t="n">
        <v>14.55478579098795</v>
      </c>
      <c r="I315">
        <f>IF(H315=0, 0, G315/H315)</f>
        <v/>
      </c>
      <c r="J315">
        <f>RANK(I315, I$2:I$1111, 0)</f>
        <v/>
      </c>
      <c r="K315">
        <f>SUM(C315)</f>
        <v/>
      </c>
      <c r="L315">
        <f>SUM(K315,D315)</f>
        <v/>
      </c>
      <c r="M315">
        <f>SUM(L315,E315,F315)</f>
        <v/>
      </c>
      <c r="N315">
        <f>IF(L315=0, -1, K315/L315)</f>
        <v/>
      </c>
      <c r="O315">
        <f>IF(M315=0, -1, K315/M315)</f>
        <v/>
      </c>
      <c r="P315">
        <f>IF(M315=0, -1, L315/M315)</f>
        <v/>
      </c>
    </row>
    <row r="316">
      <c r="A316" t="inlineStr">
        <is>
          <t>RC00024</t>
        </is>
      </c>
      <c r="B316" t="inlineStr">
        <is>
          <t>中国农业大学</t>
        </is>
      </c>
      <c r="C316" t="n">
        <v>23</v>
      </c>
      <c r="D316" t="n">
        <v>19</v>
      </c>
      <c r="E316" t="n">
        <v>20</v>
      </c>
      <c r="F316" t="n">
        <v>1</v>
      </c>
      <c r="G316" t="n">
        <v>192532.6931093619</v>
      </c>
      <c r="H316" t="n">
        <v>261.9518724621246</v>
      </c>
      <c r="I316">
        <f>IF(H316=0, 0, G316/H316)</f>
        <v/>
      </c>
      <c r="J316">
        <f>RANK(I316, I$2:I$1111, 0)</f>
        <v/>
      </c>
      <c r="K316">
        <f>SUM(C316)</f>
        <v/>
      </c>
      <c r="L316">
        <f>SUM(K316,D316)</f>
        <v/>
      </c>
      <c r="M316">
        <f>SUM(L316,E316,F316)</f>
        <v/>
      </c>
      <c r="N316">
        <f>IF(L316=0, -1, K316/L316)</f>
        <v/>
      </c>
      <c r="O316">
        <f>IF(M316=0, -1, K316/M316)</f>
        <v/>
      </c>
      <c r="P316">
        <f>IF(M316=0, -1, L316/M316)</f>
        <v/>
      </c>
    </row>
    <row r="317">
      <c r="A317" t="inlineStr">
        <is>
          <t>RC00015</t>
        </is>
      </c>
      <c r="B317" t="inlineStr">
        <is>
          <t>天津大学</t>
        </is>
      </c>
      <c r="C317" t="n">
        <v>21</v>
      </c>
      <c r="D317" t="n">
        <v>37</v>
      </c>
      <c r="E317" t="n">
        <v>11</v>
      </c>
      <c r="F317" t="n">
        <v>2</v>
      </c>
      <c r="G317" t="n">
        <v>267264.9444679558</v>
      </c>
      <c r="H317" t="n">
        <v>326.6144094841389</v>
      </c>
      <c r="I317">
        <f>IF(H317=0, 0, G317/H317)</f>
        <v/>
      </c>
      <c r="J317">
        <f>RANK(I317, I$2:I$1111, 0)</f>
        <v/>
      </c>
      <c r="K317">
        <f>SUM(C317)</f>
        <v/>
      </c>
      <c r="L317">
        <f>SUM(K317,D317)</f>
        <v/>
      </c>
      <c r="M317">
        <f>SUM(L317,E317,F317)</f>
        <v/>
      </c>
      <c r="N317">
        <f>IF(L317=0, -1, K317/L317)</f>
        <v/>
      </c>
      <c r="O317">
        <f>IF(M317=0, -1, K317/M317)</f>
        <v/>
      </c>
      <c r="P317">
        <f>IF(M317=0, -1, L317/M317)</f>
        <v/>
      </c>
    </row>
    <row r="318">
      <c r="A318" t="inlineStr">
        <is>
          <t>RC00023</t>
        </is>
      </c>
      <c r="B318" t="inlineStr">
        <is>
          <t>电子科技大学</t>
        </is>
      </c>
      <c r="C318" t="n">
        <v>14</v>
      </c>
      <c r="D318" t="n">
        <v>23</v>
      </c>
      <c r="E318" t="n">
        <v>11</v>
      </c>
      <c r="F318" t="n">
        <v>3</v>
      </c>
      <c r="G318" t="n">
        <v>185277.608598068</v>
      </c>
      <c r="H318" t="n">
        <v>237.7534768056958</v>
      </c>
      <c r="I318">
        <f>IF(H318=0, 0, G318/H318)</f>
        <v/>
      </c>
      <c r="J318">
        <f>RANK(I318, I$2:I$1111, 0)</f>
        <v/>
      </c>
      <c r="K318">
        <f>SUM(C318)</f>
        <v/>
      </c>
      <c r="L318">
        <f>SUM(K318,D318)</f>
        <v/>
      </c>
      <c r="M318">
        <f>SUM(L318,E318,F318)</f>
        <v/>
      </c>
      <c r="N318">
        <f>IF(L318=0, -1, K318/L318)</f>
        <v/>
      </c>
      <c r="O318">
        <f>IF(M318=0, -1, K318/M318)</f>
        <v/>
      </c>
      <c r="P318">
        <f>IF(M318=0, -1, L318/M318)</f>
        <v/>
      </c>
    </row>
    <row r="319">
      <c r="A319" t="inlineStr">
        <is>
          <t>RC00075</t>
        </is>
      </c>
      <c r="B319" t="inlineStr">
        <is>
          <t>江南大学</t>
        </is>
      </c>
      <c r="C319" t="n">
        <v>13</v>
      </c>
      <c r="D319" t="n">
        <v>15</v>
      </c>
      <c r="E319" t="n">
        <v>22</v>
      </c>
      <c r="F319" t="n">
        <v>2</v>
      </c>
      <c r="G319" t="n">
        <v>180452.6871278748</v>
      </c>
      <c r="H319" t="n">
        <v>253.4770722893865</v>
      </c>
      <c r="I319">
        <f>IF(H319=0, 0, G319/H319)</f>
        <v/>
      </c>
      <c r="J319">
        <f>RANK(I319, I$2:I$1111, 0)</f>
        <v/>
      </c>
      <c r="K319">
        <f>SUM(C319)</f>
        <v/>
      </c>
      <c r="L319">
        <f>SUM(K319,D319)</f>
        <v/>
      </c>
      <c r="M319">
        <f>SUM(L319,E319,F319)</f>
        <v/>
      </c>
      <c r="N319">
        <f>IF(L319=0, -1, K319/L319)</f>
        <v/>
      </c>
      <c r="O319">
        <f>IF(M319=0, -1, K319/M319)</f>
        <v/>
      </c>
      <c r="P319">
        <f>IF(M319=0, -1, L319/M319)</f>
        <v/>
      </c>
    </row>
    <row r="320">
      <c r="A320" t="inlineStr">
        <is>
          <t>RC00083</t>
        </is>
      </c>
      <c r="B320" t="inlineStr">
        <is>
          <t>浙江工业大学</t>
        </is>
      </c>
      <c r="C320" t="n">
        <v>2</v>
      </c>
      <c r="D320" t="n">
        <v>29</v>
      </c>
      <c r="E320" t="n">
        <v>32</v>
      </c>
      <c r="F320" t="n">
        <v>0</v>
      </c>
      <c r="G320" t="n">
        <v>206729.2978762125</v>
      </c>
      <c r="H320" t="n">
        <v>314.9420733394476</v>
      </c>
      <c r="I320">
        <f>IF(H320=0, 0, G320/H320)</f>
        <v/>
      </c>
      <c r="J320">
        <f>RANK(I320, I$2:I$1111, 0)</f>
        <v/>
      </c>
      <c r="K320">
        <f>SUM(C320)</f>
        <v/>
      </c>
      <c r="L320">
        <f>SUM(K320,D320)</f>
        <v/>
      </c>
      <c r="M320">
        <f>SUM(L320,E320,F320)</f>
        <v/>
      </c>
      <c r="N320">
        <f>IF(L320=0, -1, K320/L320)</f>
        <v/>
      </c>
      <c r="O320">
        <f>IF(M320=0, -1, K320/M320)</f>
        <v/>
      </c>
      <c r="P320">
        <f>IF(M320=0, -1, L320/M320)</f>
        <v/>
      </c>
    </row>
    <row r="321">
      <c r="A321" t="inlineStr">
        <is>
          <t>RC00006</t>
        </is>
      </c>
      <c r="B321" t="inlineStr">
        <is>
          <t>中国科学技术大学</t>
        </is>
      </c>
      <c r="C321" t="n">
        <v>22</v>
      </c>
      <c r="D321" t="n">
        <v>11</v>
      </c>
      <c r="E321" t="n">
        <v>5</v>
      </c>
      <c r="F321" t="n">
        <v>1</v>
      </c>
      <c r="G321" t="n">
        <v>147040.6069225462</v>
      </c>
      <c r="H321" t="n">
        <v>166.8709779686326</v>
      </c>
      <c r="I321">
        <f>IF(H321=0, 0, G321/H321)</f>
        <v/>
      </c>
      <c r="J321">
        <f>RANK(I321, I$2:I$1111, 0)</f>
        <v/>
      </c>
      <c r="K321">
        <f>SUM(C321)</f>
        <v/>
      </c>
      <c r="L321">
        <f>SUM(K321,D321)</f>
        <v/>
      </c>
      <c r="M321">
        <f>SUM(L321,E321,F321)</f>
        <v/>
      </c>
      <c r="N321">
        <f>IF(L321=0, -1, K321/L321)</f>
        <v/>
      </c>
      <c r="O321">
        <f>IF(M321=0, -1, K321/M321)</f>
        <v/>
      </c>
      <c r="P321">
        <f>IF(M321=0, -1, L321/M321)</f>
        <v/>
      </c>
    </row>
    <row r="322">
      <c r="A322" t="inlineStr">
        <is>
          <t>RC00640</t>
        </is>
      </c>
      <c r="B322" t="inlineStr">
        <is>
          <t>海南大学</t>
        </is>
      </c>
      <c r="C322" t="n">
        <v>2</v>
      </c>
      <c r="D322" t="n">
        <v>18</v>
      </c>
      <c r="E322" t="n">
        <v>42</v>
      </c>
      <c r="F322" t="n">
        <v>14</v>
      </c>
      <c r="G322" t="n">
        <v>207730.8832056829</v>
      </c>
      <c r="H322" t="n">
        <v>353.656980868014</v>
      </c>
      <c r="I322">
        <f>IF(H322=0, 0, G322/H322)</f>
        <v/>
      </c>
      <c r="J322">
        <f>RANK(I322, I$2:I$1111, 0)</f>
        <v/>
      </c>
      <c r="K322">
        <f>SUM(C322)</f>
        <v/>
      </c>
      <c r="L322">
        <f>SUM(K322,D322)</f>
        <v/>
      </c>
      <c r="M322">
        <f>SUM(L322,E322,F322)</f>
        <v/>
      </c>
      <c r="N322">
        <f>IF(L322=0, -1, K322/L322)</f>
        <v/>
      </c>
      <c r="O322">
        <f>IF(M322=0, -1, K322/M322)</f>
        <v/>
      </c>
      <c r="P322">
        <f>IF(M322=0, -1, L322/M322)</f>
        <v/>
      </c>
    </row>
    <row r="323">
      <c r="A323" t="inlineStr">
        <is>
          <t>RC00044</t>
        </is>
      </c>
      <c r="B323" t="inlineStr">
        <is>
          <t>南京航空航天大学</t>
        </is>
      </c>
      <c r="C323" t="n">
        <v>7</v>
      </c>
      <c r="D323" t="n">
        <v>21</v>
      </c>
      <c r="E323" t="n">
        <v>27</v>
      </c>
      <c r="F323" t="n">
        <v>2</v>
      </c>
      <c r="G323" t="n">
        <v>179602.1503897195</v>
      </c>
      <c r="H323" t="n">
        <v>252.4489123909461</v>
      </c>
      <c r="I323">
        <f>IF(H323=0, 0, G323/H323)</f>
        <v/>
      </c>
      <c r="J323">
        <f>RANK(I323, I$2:I$1111, 0)</f>
        <v/>
      </c>
      <c r="K323">
        <f>SUM(C323)</f>
        <v/>
      </c>
      <c r="L323">
        <f>SUM(K323,D323)</f>
        <v/>
      </c>
      <c r="M323">
        <f>SUM(L323,E323,F323)</f>
        <v/>
      </c>
      <c r="N323">
        <f>IF(L323=0, -1, K323/L323)</f>
        <v/>
      </c>
      <c r="O323">
        <f>IF(M323=0, -1, K323/M323)</f>
        <v/>
      </c>
      <c r="P323">
        <f>IF(M323=0, -1, L323/M323)</f>
        <v/>
      </c>
    </row>
    <row r="324">
      <c r="A324" t="inlineStr">
        <is>
          <t>RC00073</t>
        </is>
      </c>
      <c r="B324" t="inlineStr">
        <is>
          <t>中国矿业大学</t>
        </is>
      </c>
      <c r="C324" t="n">
        <v>9</v>
      </c>
      <c r="D324" t="n">
        <v>22</v>
      </c>
      <c r="E324" t="n">
        <v>32</v>
      </c>
      <c r="F324" t="n">
        <v>4</v>
      </c>
      <c r="G324" t="n">
        <v>200810.5637197709</v>
      </c>
      <c r="H324" t="n">
        <v>313.4739278617025</v>
      </c>
      <c r="I324">
        <f>IF(H324=0, 0, G324/H324)</f>
        <v/>
      </c>
      <c r="J324">
        <f>RANK(I324, I$2:I$1111, 0)</f>
        <v/>
      </c>
      <c r="K324">
        <f>SUM(C324)</f>
        <v/>
      </c>
      <c r="L324">
        <f>SUM(K324,D324)</f>
        <v/>
      </c>
      <c r="M324">
        <f>SUM(L324,E324,F324)</f>
        <v/>
      </c>
      <c r="N324">
        <f>IF(L324=0, -1, K324/L324)</f>
        <v/>
      </c>
      <c r="O324">
        <f>IF(M324=0, -1, K324/M324)</f>
        <v/>
      </c>
      <c r="P324">
        <f>IF(M324=0, -1, L324/M324)</f>
        <v/>
      </c>
    </row>
    <row r="325">
      <c r="A325" t="inlineStr">
        <is>
          <t>RC00080</t>
        </is>
      </c>
      <c r="B325" t="inlineStr">
        <is>
          <t>西安电子科技大学</t>
        </is>
      </c>
      <c r="C325" t="n">
        <v>13</v>
      </c>
      <c r="D325" t="n">
        <v>17</v>
      </c>
      <c r="E325" t="n">
        <v>23</v>
      </c>
      <c r="F325" t="n">
        <v>6</v>
      </c>
      <c r="G325" t="n">
        <v>197122.3348590105</v>
      </c>
      <c r="H325" t="n">
        <v>278.3415971186311</v>
      </c>
      <c r="I325">
        <f>IF(H325=0, 0, G325/H325)</f>
        <v/>
      </c>
      <c r="J325">
        <f>RANK(I325, I$2:I$1111, 0)</f>
        <v/>
      </c>
      <c r="K325">
        <f>SUM(C325)</f>
        <v/>
      </c>
      <c r="L325">
        <f>SUM(K325,D325)</f>
        <v/>
      </c>
      <c r="M325">
        <f>SUM(L325,E325,F325)</f>
        <v/>
      </c>
      <c r="N325">
        <f>IF(L325=0, -1, K325/L325)</f>
        <v/>
      </c>
      <c r="O325">
        <f>IF(M325=0, -1, K325/M325)</f>
        <v/>
      </c>
      <c r="P325">
        <f>IF(M325=0, -1, L325/M325)</f>
        <v/>
      </c>
    </row>
    <row r="326">
      <c r="A326" t="inlineStr">
        <is>
          <t>RC00041</t>
        </is>
      </c>
      <c r="B326" t="inlineStr">
        <is>
          <t>哈尔滨工程大学</t>
        </is>
      </c>
      <c r="C326" t="n">
        <v>7</v>
      </c>
      <c r="D326" t="n">
        <v>17</v>
      </c>
      <c r="E326" t="n">
        <v>14</v>
      </c>
      <c r="F326" t="n">
        <v>4</v>
      </c>
      <c r="G326" t="n">
        <v>125990.3851997082</v>
      </c>
      <c r="H326" t="n">
        <v>182.1158374580323</v>
      </c>
      <c r="I326">
        <f>IF(H326=0, 0, G326/H326)</f>
        <v/>
      </c>
      <c r="J326">
        <f>RANK(I326, I$2:I$1111, 0)</f>
        <v/>
      </c>
      <c r="K326">
        <f>SUM(C326)</f>
        <v/>
      </c>
      <c r="L326">
        <f>SUM(K326,D326)</f>
        <v/>
      </c>
      <c r="M326">
        <f>SUM(L326,E326,F326)</f>
        <v/>
      </c>
      <c r="N326">
        <f>IF(L326=0, -1, K326/L326)</f>
        <v/>
      </c>
      <c r="O326">
        <f>IF(M326=0, -1, K326/M326)</f>
        <v/>
      </c>
      <c r="P326">
        <f>IF(M326=0, -1, L326/M326)</f>
        <v/>
      </c>
    </row>
    <row r="327">
      <c r="A327" t="inlineStr">
        <is>
          <t>RC00028</t>
        </is>
      </c>
      <c r="B327" t="inlineStr">
        <is>
          <t>南京理工大学</t>
        </is>
      </c>
      <c r="C327" t="n">
        <v>5</v>
      </c>
      <c r="D327" t="n">
        <v>36</v>
      </c>
      <c r="E327" t="n">
        <v>17</v>
      </c>
      <c r="F327" t="n">
        <v>3</v>
      </c>
      <c r="G327" t="n">
        <v>201122.5795132337</v>
      </c>
      <c r="H327" t="n">
        <v>279.7127872958894</v>
      </c>
      <c r="I327">
        <f>IF(H327=0, 0, G327/H327)</f>
        <v/>
      </c>
      <c r="J327">
        <f>RANK(I327, I$2:I$1111, 0)</f>
        <v/>
      </c>
      <c r="K327">
        <f>SUM(C327)</f>
        <v/>
      </c>
      <c r="L327">
        <f>SUM(K327,D327)</f>
        <v/>
      </c>
      <c r="M327">
        <f>SUM(L327,E327,F327)</f>
        <v/>
      </c>
      <c r="N327">
        <f>IF(L327=0, -1, K327/L327)</f>
        <v/>
      </c>
      <c r="O327">
        <f>IF(M327=0, -1, K327/M327)</f>
        <v/>
      </c>
      <c r="P327">
        <f>IF(M327=0, -1, L327/M327)</f>
        <v/>
      </c>
    </row>
    <row r="328">
      <c r="A328" t="inlineStr">
        <is>
          <t>RC00135</t>
        </is>
      </c>
      <c r="B328" t="inlineStr">
        <is>
          <t>北京外国语大学</t>
        </is>
      </c>
      <c r="C328" t="n">
        <v>29</v>
      </c>
      <c r="D328" t="n">
        <v>11</v>
      </c>
      <c r="E328" t="n">
        <v>14</v>
      </c>
      <c r="F328" t="n">
        <v>1</v>
      </c>
      <c r="G328" t="n">
        <v>140239.2447831666</v>
      </c>
      <c r="H328" t="n">
        <v>175.6309278247061</v>
      </c>
      <c r="I328">
        <f>IF(H328=0, 0, G328/H328)</f>
        <v/>
      </c>
      <c r="J328">
        <f>RANK(I328, I$2:I$1111, 0)</f>
        <v/>
      </c>
      <c r="K328">
        <f>SUM(C328)</f>
        <v/>
      </c>
      <c r="L328">
        <f>SUM(K328,D328)</f>
        <v/>
      </c>
      <c r="M328">
        <f>SUM(L328,E328,F328)</f>
        <v/>
      </c>
      <c r="N328">
        <f>IF(L328=0, -1, K328/L328)</f>
        <v/>
      </c>
      <c r="O328">
        <f>IF(M328=0, -1, K328/M328)</f>
        <v/>
      </c>
      <c r="P328">
        <f>IF(M328=0, -1, L328/M328)</f>
        <v/>
      </c>
    </row>
    <row r="329">
      <c r="A329" t="inlineStr">
        <is>
          <t>RC00334</t>
        </is>
      </c>
      <c r="B329" t="inlineStr">
        <is>
          <t>上海外国语大学</t>
        </is>
      </c>
      <c r="C329" t="n">
        <v>26</v>
      </c>
      <c r="D329" t="n">
        <v>10</v>
      </c>
      <c r="E329" t="n">
        <v>13</v>
      </c>
      <c r="F329" t="n">
        <v>4</v>
      </c>
      <c r="G329" t="n">
        <v>148108.612112142</v>
      </c>
      <c r="H329" t="n">
        <v>191.7139656554457</v>
      </c>
      <c r="I329">
        <f>IF(H329=0, 0, G329/H329)</f>
        <v/>
      </c>
      <c r="J329">
        <f>RANK(I329, I$2:I$1111, 0)</f>
        <v/>
      </c>
      <c r="K329">
        <f>SUM(C329)</f>
        <v/>
      </c>
      <c r="L329">
        <f>SUM(K329,D329)</f>
        <v/>
      </c>
      <c r="M329">
        <f>SUM(L329,E329,F329)</f>
        <v/>
      </c>
      <c r="N329">
        <f>IF(L329=0, -1, K329/L329)</f>
        <v/>
      </c>
      <c r="O329">
        <f>IF(M329=0, -1, K329/M329)</f>
        <v/>
      </c>
      <c r="P329">
        <f>IF(M329=0, -1, L329/M329)</f>
        <v/>
      </c>
    </row>
    <row r="330">
      <c r="A330" t="inlineStr">
        <is>
          <t>RC00064</t>
        </is>
      </c>
      <c r="B330" t="inlineStr">
        <is>
          <t>南方科技大学</t>
        </is>
      </c>
      <c r="C330" t="n">
        <v>2</v>
      </c>
      <c r="D330" t="n">
        <v>10</v>
      </c>
      <c r="E330" t="n">
        <v>20</v>
      </c>
      <c r="F330" t="n">
        <v>5</v>
      </c>
      <c r="G330" t="n">
        <v>102493.2267646095</v>
      </c>
      <c r="H330" t="n">
        <v>161.2938868921423</v>
      </c>
      <c r="I330">
        <f>IF(H330=0, 0, G330/H330)</f>
        <v/>
      </c>
      <c r="J330">
        <f>RANK(I330, I$2:I$1111, 0)</f>
        <v/>
      </c>
      <c r="K330">
        <f>SUM(C330)</f>
        <v/>
      </c>
      <c r="L330">
        <f>SUM(K330,D330)</f>
        <v/>
      </c>
      <c r="M330">
        <f>SUM(L330,E330,F330)</f>
        <v/>
      </c>
      <c r="N330">
        <f>IF(L330=0, -1, K330/L330)</f>
        <v/>
      </c>
      <c r="O330">
        <f>IF(M330=0, -1, K330/M330)</f>
        <v/>
      </c>
      <c r="P330">
        <f>IF(M330=0, -1, L330/M330)</f>
        <v/>
      </c>
    </row>
    <row r="331">
      <c r="A331" t="inlineStr">
        <is>
          <t>RC00182</t>
        </is>
      </c>
      <c r="B331" t="inlineStr">
        <is>
          <t>河北工业大学</t>
        </is>
      </c>
      <c r="C331" t="n">
        <v>0</v>
      </c>
      <c r="D331" t="n">
        <v>22</v>
      </c>
      <c r="E331" t="n">
        <v>37</v>
      </c>
      <c r="F331" t="n">
        <v>5</v>
      </c>
      <c r="G331" t="n">
        <v>188889.1758983825</v>
      </c>
      <c r="H331" t="n">
        <v>312.6573594773022</v>
      </c>
      <c r="I331">
        <f>IF(H331=0, 0, G331/H331)</f>
        <v/>
      </c>
      <c r="J331">
        <f>RANK(I331, I$2:I$1111, 0)</f>
        <v/>
      </c>
      <c r="K331">
        <f>SUM(C331)</f>
        <v/>
      </c>
      <c r="L331">
        <f>SUM(K331,D331)</f>
        <v/>
      </c>
      <c r="M331">
        <f>SUM(L331,E331,F331)</f>
        <v/>
      </c>
      <c r="N331">
        <f>IF(L331=0, -1, K331/L331)</f>
        <v/>
      </c>
      <c r="O331">
        <f>IF(M331=0, -1, K331/M331)</f>
        <v/>
      </c>
      <c r="P331">
        <f>IF(M331=0, -1, L331/M331)</f>
        <v/>
      </c>
    </row>
    <row r="332">
      <c r="A332" t="inlineStr">
        <is>
          <t>RC00046</t>
        </is>
      </c>
      <c r="B332" t="inlineStr">
        <is>
          <t>江苏大学</t>
        </is>
      </c>
      <c r="C332" t="n">
        <v>3</v>
      </c>
      <c r="D332" t="n">
        <v>17</v>
      </c>
      <c r="E332" t="n">
        <v>56</v>
      </c>
      <c r="F332" t="n">
        <v>12</v>
      </c>
      <c r="G332" t="n">
        <v>245653.1442771306</v>
      </c>
      <c r="H332" t="n">
        <v>424.1602714745381</v>
      </c>
      <c r="I332">
        <f>IF(H332=0, 0, G332/H332)</f>
        <v/>
      </c>
      <c r="J332">
        <f>RANK(I332, I$2:I$1111, 0)</f>
        <v/>
      </c>
      <c r="K332">
        <f>SUM(C332)</f>
        <v/>
      </c>
      <c r="L332">
        <f>SUM(K332,D332)</f>
        <v/>
      </c>
      <c r="M332">
        <f>SUM(L332,E332,F332)</f>
        <v/>
      </c>
      <c r="N332">
        <f>IF(L332=0, -1, K332/L332)</f>
        <v/>
      </c>
      <c r="O332">
        <f>IF(M332=0, -1, K332/M332)</f>
        <v/>
      </c>
      <c r="P332">
        <f>IF(M332=0, -1, L332/M332)</f>
        <v/>
      </c>
    </row>
    <row r="333">
      <c r="A333" t="inlineStr">
        <is>
          <t>RC00143</t>
        </is>
      </c>
      <c r="B333" t="inlineStr">
        <is>
          <t>外交学院</t>
        </is>
      </c>
      <c r="C333" t="n">
        <v>3</v>
      </c>
      <c r="D333" t="n">
        <v>2</v>
      </c>
      <c r="E333" t="n">
        <v>4</v>
      </c>
      <c r="F333" t="n">
        <v>2</v>
      </c>
      <c r="G333" t="n">
        <v>30714.29357493699</v>
      </c>
      <c r="H333" t="n">
        <v>48.47389214210433</v>
      </c>
      <c r="I333">
        <f>IF(H333=0, 0, G333/H333)</f>
        <v/>
      </c>
      <c r="J333">
        <f>RANK(I333, I$2:I$1111, 0)</f>
        <v/>
      </c>
      <c r="K333">
        <f>SUM(C333)</f>
        <v/>
      </c>
      <c r="L333">
        <f>SUM(K333,D333)</f>
        <v/>
      </c>
      <c r="M333">
        <f>SUM(L333,E333,F333)</f>
        <v/>
      </c>
      <c r="N333">
        <f>IF(L333=0, -1, K333/L333)</f>
        <v/>
      </c>
      <c r="O333">
        <f>IF(M333=0, -1, K333/M333)</f>
        <v/>
      </c>
      <c r="P333">
        <f>IF(M333=0, -1, L333/M333)</f>
        <v/>
      </c>
    </row>
    <row r="334">
      <c r="A334" t="inlineStr">
        <is>
          <t>RC00045</t>
        </is>
      </c>
      <c r="B334" t="inlineStr">
        <is>
          <t>南京工业大学</t>
        </is>
      </c>
      <c r="C334" t="n">
        <v>6</v>
      </c>
      <c r="D334" t="n">
        <v>14</v>
      </c>
      <c r="E334" t="n">
        <v>52</v>
      </c>
      <c r="F334" t="n">
        <v>14</v>
      </c>
      <c r="G334" t="n">
        <v>219114.1912988997</v>
      </c>
      <c r="H334" t="n">
        <v>383.9349450302498</v>
      </c>
      <c r="I334">
        <f>IF(H334=0, 0, G334/H334)</f>
        <v/>
      </c>
      <c r="J334">
        <f>RANK(I334, I$2:I$1111, 0)</f>
        <v/>
      </c>
      <c r="K334">
        <f>SUM(C334)</f>
        <v/>
      </c>
      <c r="L334">
        <f>SUM(K334,D334)</f>
        <v/>
      </c>
      <c r="M334">
        <f>SUM(L334,E334,F334)</f>
        <v/>
      </c>
      <c r="N334">
        <f>IF(L334=0, -1, K334/L334)</f>
        <v/>
      </c>
      <c r="O334">
        <f>IF(M334=0, -1, K334/M334)</f>
        <v/>
      </c>
      <c r="P334">
        <f>IF(M334=0, -1, L334/M334)</f>
        <v/>
      </c>
    </row>
    <row r="335">
      <c r="A335" t="inlineStr">
        <is>
          <t>RC00165</t>
        </is>
      </c>
      <c r="B335" t="inlineStr">
        <is>
          <t>天津工业大学</t>
        </is>
      </c>
      <c r="C335" t="n">
        <v>0</v>
      </c>
      <c r="D335" t="n">
        <v>5</v>
      </c>
      <c r="E335" t="n">
        <v>36</v>
      </c>
      <c r="F335" t="n">
        <v>11</v>
      </c>
      <c r="G335" t="n">
        <v>134086.181596288</v>
      </c>
      <c r="H335" t="n">
        <v>257.6786699300553</v>
      </c>
      <c r="I335">
        <f>IF(H335=0, 0, G335/H335)</f>
        <v/>
      </c>
      <c r="J335">
        <f>RANK(I335, I$2:I$1111, 0)</f>
        <v/>
      </c>
      <c r="K335">
        <f>SUM(C335)</f>
        <v/>
      </c>
      <c r="L335">
        <f>SUM(K335,D335)</f>
        <v/>
      </c>
      <c r="M335">
        <f>SUM(L335,E335,F335)</f>
        <v/>
      </c>
      <c r="N335">
        <f>IF(L335=0, -1, K335/L335)</f>
        <v/>
      </c>
      <c r="O335">
        <f>IF(M335=0, -1, K335/M335)</f>
        <v/>
      </c>
      <c r="P335">
        <f>IF(M335=0, -1, L335/M335)</f>
        <v/>
      </c>
    </row>
    <row r="336">
      <c r="A336" t="inlineStr">
        <is>
          <t>RC00071</t>
        </is>
      </c>
      <c r="B336" t="inlineStr">
        <is>
          <t>东华大学</t>
        </is>
      </c>
      <c r="C336" t="n">
        <v>7</v>
      </c>
      <c r="D336" t="n">
        <v>14</v>
      </c>
      <c r="E336" t="n">
        <v>27</v>
      </c>
      <c r="F336" t="n">
        <v>6</v>
      </c>
      <c r="G336" t="n">
        <v>168617.5570387273</v>
      </c>
      <c r="H336" t="n">
        <v>262.8543978920836</v>
      </c>
      <c r="I336">
        <f>IF(H336=0, 0, G336/H336)</f>
        <v/>
      </c>
      <c r="J336">
        <f>RANK(I336, I$2:I$1111, 0)</f>
        <v/>
      </c>
      <c r="K336">
        <f>SUM(C336)</f>
        <v/>
      </c>
      <c r="L336">
        <f>SUM(K336,D336)</f>
        <v/>
      </c>
      <c r="M336">
        <f>SUM(L336,E336,F336)</f>
        <v/>
      </c>
      <c r="N336">
        <f>IF(L336=0, -1, K336/L336)</f>
        <v/>
      </c>
      <c r="O336">
        <f>IF(M336=0, -1, K336/M336)</f>
        <v/>
      </c>
      <c r="P336">
        <f>IF(M336=0, -1, L336/M336)</f>
        <v/>
      </c>
    </row>
    <row r="337">
      <c r="A337" t="inlineStr">
        <is>
          <t>RC00310</t>
        </is>
      </c>
      <c r="B337" t="inlineStr">
        <is>
          <t>东北农业大学</t>
        </is>
      </c>
      <c r="C337" t="n">
        <v>4</v>
      </c>
      <c r="D337" t="n">
        <v>6</v>
      </c>
      <c r="E337" t="n">
        <v>36</v>
      </c>
      <c r="F337" t="n">
        <v>20</v>
      </c>
      <c r="G337" t="n">
        <v>149443.9728590771</v>
      </c>
      <c r="H337" t="n">
        <v>289.5300977966073</v>
      </c>
      <c r="I337">
        <f>IF(H337=0, 0, G337/H337)</f>
        <v/>
      </c>
      <c r="J337">
        <f>RANK(I337, I$2:I$1111, 0)</f>
        <v/>
      </c>
      <c r="K337">
        <f>SUM(C337)</f>
        <v/>
      </c>
      <c r="L337">
        <f>SUM(K337,D337)</f>
        <v/>
      </c>
      <c r="M337">
        <f>SUM(L337,E337,F337)</f>
        <v/>
      </c>
      <c r="N337">
        <f>IF(L337=0, -1, K337/L337)</f>
        <v/>
      </c>
      <c r="O337">
        <f>IF(M337=0, -1, K337/M337)</f>
        <v/>
      </c>
      <c r="P337">
        <f>IF(M337=0, -1, L337/M337)</f>
        <v/>
      </c>
    </row>
    <row r="338">
      <c r="A338" t="inlineStr">
        <is>
          <t>RC00122</t>
        </is>
      </c>
      <c r="B338" t="inlineStr">
        <is>
          <t>汕头大学</t>
        </is>
      </c>
      <c r="C338" t="n">
        <v>0</v>
      </c>
      <c r="D338" t="n">
        <v>3</v>
      </c>
      <c r="E338" t="n">
        <v>28</v>
      </c>
      <c r="F338" t="n">
        <v>15</v>
      </c>
      <c r="G338" t="n">
        <v>110228.8973275217</v>
      </c>
      <c r="H338" t="n">
        <v>224.3719900443573</v>
      </c>
      <c r="I338">
        <f>IF(H338=0, 0, G338/H338)</f>
        <v/>
      </c>
      <c r="J338">
        <f>RANK(I338, I$2:I$1111, 0)</f>
        <v/>
      </c>
      <c r="K338">
        <f>SUM(C338)</f>
        <v/>
      </c>
      <c r="L338">
        <f>SUM(K338,D338)</f>
        <v/>
      </c>
      <c r="M338">
        <f>SUM(L338,E338,F338)</f>
        <v/>
      </c>
      <c r="N338">
        <f>IF(L338=0, -1, K338/L338)</f>
        <v/>
      </c>
      <c r="O338">
        <f>IF(M338=0, -1, K338/M338)</f>
        <v/>
      </c>
      <c r="P338">
        <f>IF(M338=0, -1, L338/M338)</f>
        <v/>
      </c>
    </row>
    <row r="339">
      <c r="A339" t="inlineStr">
        <is>
          <t>RC00558</t>
        </is>
      </c>
      <c r="B339" t="inlineStr">
        <is>
          <t>三峡大学</t>
        </is>
      </c>
      <c r="C339" t="n">
        <v>0</v>
      </c>
      <c r="D339" t="n">
        <v>5</v>
      </c>
      <c r="E339" t="n">
        <v>30</v>
      </c>
      <c r="F339" t="n">
        <v>21</v>
      </c>
      <c r="G339" t="n">
        <v>129141.542953438</v>
      </c>
      <c r="H339" t="n">
        <v>276.5338697180747</v>
      </c>
      <c r="I339">
        <f>IF(H339=0, 0, G339/H339)</f>
        <v/>
      </c>
      <c r="J339">
        <f>RANK(I339, I$2:I$1111, 0)</f>
        <v/>
      </c>
      <c r="K339">
        <f>SUM(C339)</f>
        <v/>
      </c>
      <c r="L339">
        <f>SUM(K339,D339)</f>
        <v/>
      </c>
      <c r="M339">
        <f>SUM(L339,E339,F339)</f>
        <v/>
      </c>
      <c r="N339">
        <f>IF(L339=0, -1, K339/L339)</f>
        <v/>
      </c>
      <c r="O339">
        <f>IF(M339=0, -1, K339/M339)</f>
        <v/>
      </c>
      <c r="P339">
        <f>IF(M339=0, -1, L339/M339)</f>
        <v/>
      </c>
    </row>
    <row r="340">
      <c r="A340" t="inlineStr">
        <is>
          <t>RC00136</t>
        </is>
      </c>
      <c r="B340" t="inlineStr">
        <is>
          <t>北京第二外国语学院</t>
        </is>
      </c>
      <c r="C340" t="n">
        <v>3</v>
      </c>
      <c r="D340" t="n">
        <v>7</v>
      </c>
      <c r="E340" t="n">
        <v>13</v>
      </c>
      <c r="F340" t="n">
        <v>12</v>
      </c>
      <c r="G340" t="n">
        <v>91569.38730756413</v>
      </c>
      <c r="H340" t="n">
        <v>132.7544231924497</v>
      </c>
      <c r="I340">
        <f>IF(H340=0, 0, G340/H340)</f>
        <v/>
      </c>
      <c r="J340">
        <f>RANK(I340, I$2:I$1111, 0)</f>
        <v/>
      </c>
      <c r="K340">
        <f>SUM(C340)</f>
        <v/>
      </c>
      <c r="L340">
        <f>SUM(K340,D340)</f>
        <v/>
      </c>
      <c r="M340">
        <f>SUM(L340,E340,F340)</f>
        <v/>
      </c>
      <c r="N340">
        <f>IF(L340=0, -1, K340/L340)</f>
        <v/>
      </c>
      <c r="O340">
        <f>IF(M340=0, -1, K340/M340)</f>
        <v/>
      </c>
      <c r="P340">
        <f>IF(M340=0, -1, L340/M340)</f>
        <v/>
      </c>
    </row>
    <row r="341">
      <c r="A341" t="inlineStr">
        <is>
          <t>RC00245</t>
        </is>
      </c>
      <c r="B341" t="inlineStr">
        <is>
          <t>沈阳工业大学</t>
        </is>
      </c>
      <c r="C341" t="n">
        <v>1</v>
      </c>
      <c r="D341" t="n">
        <v>3</v>
      </c>
      <c r="E341" t="n">
        <v>26</v>
      </c>
      <c r="F341" t="n">
        <v>23</v>
      </c>
      <c r="G341" t="n">
        <v>112726.3271603248</v>
      </c>
      <c r="H341" t="n">
        <v>259.5189339008589</v>
      </c>
      <c r="I341">
        <f>IF(H341=0, 0, G341/H341)</f>
        <v/>
      </c>
      <c r="J341">
        <f>RANK(I341, I$2:I$1111, 0)</f>
        <v/>
      </c>
      <c r="K341">
        <f>SUM(C341)</f>
        <v/>
      </c>
      <c r="L341">
        <f>SUM(K341,D341)</f>
        <v/>
      </c>
      <c r="M341">
        <f>SUM(L341,E341,F341)</f>
        <v/>
      </c>
      <c r="N341">
        <f>IF(L341=0, -1, K341/L341)</f>
        <v/>
      </c>
      <c r="O341">
        <f>IF(M341=0, -1, K341/M341)</f>
        <v/>
      </c>
      <c r="P341">
        <f>IF(M341=0, -1, L341/M341)</f>
        <v/>
      </c>
    </row>
    <row r="342">
      <c r="A342" t="inlineStr">
        <is>
          <t>RC00331</t>
        </is>
      </c>
      <c r="B342" t="inlineStr">
        <is>
          <t>上海海洋大学</t>
        </is>
      </c>
      <c r="C342" t="n">
        <v>3</v>
      </c>
      <c r="D342" t="n">
        <v>3</v>
      </c>
      <c r="E342" t="n">
        <v>18</v>
      </c>
      <c r="F342" t="n">
        <v>15</v>
      </c>
      <c r="G342" t="n">
        <v>83694.52341831465</v>
      </c>
      <c r="H342" t="n">
        <v>178.0722609626921</v>
      </c>
      <c r="I342">
        <f>IF(H342=0, 0, G342/H342)</f>
        <v/>
      </c>
      <c r="J342">
        <f>RANK(I342, I$2:I$1111, 0)</f>
        <v/>
      </c>
      <c r="K342">
        <f>SUM(C342)</f>
        <v/>
      </c>
      <c r="L342">
        <f>SUM(K342,D342)</f>
        <v/>
      </c>
      <c r="M342">
        <f>SUM(L342,E342,F342)</f>
        <v/>
      </c>
      <c r="N342">
        <f>IF(L342=0, -1, K342/L342)</f>
        <v/>
      </c>
      <c r="O342">
        <f>IF(M342=0, -1, K342/M342)</f>
        <v/>
      </c>
      <c r="P342">
        <f>IF(M342=0, -1, L342/M342)</f>
        <v/>
      </c>
    </row>
    <row r="343">
      <c r="A343" t="inlineStr">
        <is>
          <t>RC00380</t>
        </is>
      </c>
      <c r="B343" t="inlineStr">
        <is>
          <t>浙江师范大学</t>
        </is>
      </c>
      <c r="C343" t="n">
        <v>2</v>
      </c>
      <c r="D343" t="n">
        <v>16</v>
      </c>
      <c r="E343" t="n">
        <v>35</v>
      </c>
      <c r="F343" t="n">
        <v>7</v>
      </c>
      <c r="G343" t="n">
        <v>178947.425203522</v>
      </c>
      <c r="H343" t="n">
        <v>302.3375937304992</v>
      </c>
      <c r="I343">
        <f>IF(H343=0, 0, G343/H343)</f>
        <v/>
      </c>
      <c r="J343">
        <f>RANK(I343, I$2:I$1111, 0)</f>
        <v/>
      </c>
      <c r="K343">
        <f>SUM(C343)</f>
        <v/>
      </c>
      <c r="L343">
        <f>SUM(K343,D343)</f>
        <v/>
      </c>
      <c r="M343">
        <f>SUM(L343,E343,F343)</f>
        <v/>
      </c>
      <c r="N343">
        <f>IF(L343=0, -1, K343/L343)</f>
        <v/>
      </c>
      <c r="O343">
        <f>IF(M343=0, -1, K343/M343)</f>
        <v/>
      </c>
      <c r="P343">
        <f>IF(M343=0, -1, L343/M343)</f>
        <v/>
      </c>
    </row>
    <row r="344">
      <c r="A344" t="inlineStr">
        <is>
          <t>RC00468</t>
        </is>
      </c>
      <c r="B344" t="inlineStr">
        <is>
          <t>齐鲁工业大学</t>
        </is>
      </c>
      <c r="C344" t="n">
        <v>2</v>
      </c>
      <c r="D344" t="n">
        <v>4</v>
      </c>
      <c r="E344" t="n">
        <v>36</v>
      </c>
      <c r="F344" t="n">
        <v>21</v>
      </c>
      <c r="G344" t="n">
        <v>144864.3489112372</v>
      </c>
      <c r="H344" t="n">
        <v>296.5166038390348</v>
      </c>
      <c r="I344">
        <f>IF(H344=0, 0, G344/H344)</f>
        <v/>
      </c>
      <c r="J344">
        <f>RANK(I344, I$2:I$1111, 0)</f>
        <v/>
      </c>
      <c r="K344">
        <f>SUM(C344)</f>
        <v/>
      </c>
      <c r="L344">
        <f>SUM(K344,D344)</f>
        <v/>
      </c>
      <c r="M344">
        <f>SUM(L344,E344,F344)</f>
        <v/>
      </c>
      <c r="N344">
        <f>IF(L344=0, -1, K344/L344)</f>
        <v/>
      </c>
      <c r="O344">
        <f>IF(M344=0, -1, K344/M344)</f>
        <v/>
      </c>
      <c r="P344">
        <f>IF(M344=0, -1, L344/M344)</f>
        <v/>
      </c>
    </row>
    <row r="345">
      <c r="A345" t="inlineStr">
        <is>
          <t>RC00116</t>
        </is>
      </c>
      <c r="B345" t="inlineStr">
        <is>
          <t>常州大学</t>
        </is>
      </c>
      <c r="C345" t="n">
        <v>0</v>
      </c>
      <c r="D345" t="n">
        <v>1</v>
      </c>
      <c r="E345" t="n">
        <v>40</v>
      </c>
      <c r="F345" t="n">
        <v>22</v>
      </c>
      <c r="G345" t="n">
        <v>145521.888936837</v>
      </c>
      <c r="H345" t="n">
        <v>315.0863355188594</v>
      </c>
      <c r="I345">
        <f>IF(H345=0, 0, G345/H345)</f>
        <v/>
      </c>
      <c r="J345">
        <f>RANK(I345, I$2:I$1111, 0)</f>
        <v/>
      </c>
      <c r="K345">
        <f>SUM(C345)</f>
        <v/>
      </c>
      <c r="L345">
        <f>SUM(K345,D345)</f>
        <v/>
      </c>
      <c r="M345">
        <f>SUM(L345,E345,F345)</f>
        <v/>
      </c>
      <c r="N345">
        <f>IF(L345=0, -1, K345/L345)</f>
        <v/>
      </c>
      <c r="O345">
        <f>IF(M345=0, -1, K345/M345)</f>
        <v/>
      </c>
      <c r="P345">
        <f>IF(M345=0, -1, L345/M345)</f>
        <v/>
      </c>
    </row>
    <row r="346">
      <c r="A346" t="inlineStr">
        <is>
          <t>RC00557</t>
        </is>
      </c>
      <c r="B346" t="inlineStr">
        <is>
          <t>江汉大学</t>
        </is>
      </c>
      <c r="C346" t="n">
        <v>0</v>
      </c>
      <c r="D346" t="n">
        <v>0</v>
      </c>
      <c r="E346" t="n">
        <v>27</v>
      </c>
      <c r="F346" t="n">
        <v>26</v>
      </c>
      <c r="G346" t="n">
        <v>111117.2032593957</v>
      </c>
      <c r="H346" t="n">
        <v>264.7779415914825</v>
      </c>
      <c r="I346">
        <f>IF(H346=0, 0, G346/H346)</f>
        <v/>
      </c>
      <c r="J346">
        <f>RANK(I346, I$2:I$1111, 0)</f>
        <v/>
      </c>
      <c r="K346">
        <f>SUM(C346)</f>
        <v/>
      </c>
      <c r="L346">
        <f>SUM(K346,D346)</f>
        <v/>
      </c>
      <c r="M346">
        <f>SUM(L346,E346,F346)</f>
        <v/>
      </c>
      <c r="N346">
        <f>IF(L346=0, -1, K346/L346)</f>
        <v/>
      </c>
      <c r="O346">
        <f>IF(M346=0, -1, K346/M346)</f>
        <v/>
      </c>
      <c r="P346">
        <f>IF(M346=0, -1, L346/M346)</f>
        <v/>
      </c>
    </row>
    <row r="347">
      <c r="A347" t="inlineStr">
        <is>
          <t>RC00374</t>
        </is>
      </c>
      <c r="B347" t="inlineStr">
        <is>
          <t>金陵科技学院</t>
        </is>
      </c>
      <c r="C347" t="n">
        <v>0</v>
      </c>
      <c r="D347" t="n">
        <v>1</v>
      </c>
      <c r="E347" t="n">
        <v>18</v>
      </c>
      <c r="F347" t="n">
        <v>33</v>
      </c>
      <c r="G347" t="n">
        <v>96845.23697207157</v>
      </c>
      <c r="H347" t="n">
        <v>251.4766511828832</v>
      </c>
      <c r="I347">
        <f>IF(H347=0, 0, G347/H347)</f>
        <v/>
      </c>
      <c r="J347">
        <f>RANK(I347, I$2:I$1111, 0)</f>
        <v/>
      </c>
      <c r="K347">
        <f>SUM(C347)</f>
        <v/>
      </c>
      <c r="L347">
        <f>SUM(K347,D347)</f>
        <v/>
      </c>
      <c r="M347">
        <f>SUM(L347,E347,F347)</f>
        <v/>
      </c>
      <c r="N347">
        <f>IF(L347=0, -1, K347/L347)</f>
        <v/>
      </c>
      <c r="O347">
        <f>IF(M347=0, -1, K347/M347)</f>
        <v/>
      </c>
      <c r="P347">
        <f>IF(M347=0, -1, L347/M347)</f>
        <v/>
      </c>
    </row>
    <row r="348">
      <c r="A348" t="inlineStr">
        <is>
          <t>RC00305</t>
        </is>
      </c>
      <c r="B348" t="inlineStr">
        <is>
          <t>哈尔滨理工大学</t>
        </is>
      </c>
      <c r="C348" t="n">
        <v>1</v>
      </c>
      <c r="D348" t="n">
        <v>5</v>
      </c>
      <c r="E348" t="n">
        <v>31</v>
      </c>
      <c r="F348" t="n">
        <v>15</v>
      </c>
      <c r="G348" t="n">
        <v>126168.6989410995</v>
      </c>
      <c r="H348" t="n">
        <v>267.2177850713202</v>
      </c>
      <c r="I348">
        <f>IF(H348=0, 0, G348/H348)</f>
        <v/>
      </c>
      <c r="J348">
        <f>RANK(I348, I$2:I$1111, 0)</f>
        <v/>
      </c>
      <c r="K348">
        <f>SUM(C348)</f>
        <v/>
      </c>
      <c r="L348">
        <f>SUM(K348,D348)</f>
        <v/>
      </c>
      <c r="M348">
        <f>SUM(L348,E348,F348)</f>
        <v/>
      </c>
      <c r="N348">
        <f>IF(L348=0, -1, K348/L348)</f>
        <v/>
      </c>
      <c r="O348">
        <f>IF(M348=0, -1, K348/M348)</f>
        <v/>
      </c>
      <c r="P348">
        <f>IF(M348=0, -1, L348/M348)</f>
        <v/>
      </c>
    </row>
    <row r="349">
      <c r="A349" t="inlineStr">
        <is>
          <t>RC00421</t>
        </is>
      </c>
      <c r="B349" t="inlineStr">
        <is>
          <t>合肥大学</t>
        </is>
      </c>
      <c r="C349" t="n">
        <v>0</v>
      </c>
      <c r="D349" t="n">
        <v>0</v>
      </c>
      <c r="E349" t="n">
        <v>21</v>
      </c>
      <c r="F349" t="n">
        <v>25</v>
      </c>
      <c r="G349" t="n">
        <v>93290.54315164793</v>
      </c>
      <c r="H349" t="n">
        <v>237.9523703956711</v>
      </c>
      <c r="I349">
        <f>IF(H349=0, 0, G349/H349)</f>
        <v/>
      </c>
      <c r="J349">
        <f>RANK(I349, I$2:I$1111, 0)</f>
        <v/>
      </c>
      <c r="K349">
        <f>SUM(C349)</f>
        <v/>
      </c>
      <c r="L349">
        <f>SUM(K349,D349)</f>
        <v/>
      </c>
      <c r="M349">
        <f>SUM(L349,E349,F349)</f>
        <v/>
      </c>
      <c r="N349">
        <f>IF(L349=0, -1, K349/L349)</f>
        <v/>
      </c>
      <c r="O349">
        <f>IF(M349=0, -1, K349/M349)</f>
        <v/>
      </c>
      <c r="P349">
        <f>IF(M349=0, -1, L349/M349)</f>
        <v/>
      </c>
    </row>
    <row r="350">
      <c r="A350" t="inlineStr">
        <is>
          <t>RC00732</t>
        </is>
      </c>
      <c r="B350" t="inlineStr">
        <is>
          <t>西安石油大学</t>
        </is>
      </c>
      <c r="C350" t="n">
        <v>0</v>
      </c>
      <c r="D350" t="n">
        <v>1</v>
      </c>
      <c r="E350" t="n">
        <v>27</v>
      </c>
      <c r="F350" t="n">
        <v>21</v>
      </c>
      <c r="G350" t="n">
        <v>104602.7210870188</v>
      </c>
      <c r="H350" t="n">
        <v>237.2793632223538</v>
      </c>
      <c r="I350">
        <f>IF(H350=0, 0, G350/H350)</f>
        <v/>
      </c>
      <c r="J350">
        <f>RANK(I350, I$2:I$1111, 0)</f>
        <v/>
      </c>
      <c r="K350">
        <f>SUM(C350)</f>
        <v/>
      </c>
      <c r="L350">
        <f>SUM(K350,D350)</f>
        <v/>
      </c>
      <c r="M350">
        <f>SUM(L350,E350,F350)</f>
        <v/>
      </c>
      <c r="N350">
        <f>IF(L350=0, -1, K350/L350)</f>
        <v/>
      </c>
      <c r="O350">
        <f>IF(M350=0, -1, K350/M350)</f>
        <v/>
      </c>
      <c r="P350">
        <f>IF(M350=0, -1, L350/M350)</f>
        <v/>
      </c>
    </row>
    <row r="351">
      <c r="A351" t="inlineStr">
        <is>
          <t>RC00463</t>
        </is>
      </c>
      <c r="B351" t="inlineStr">
        <is>
          <t>山东科技大学</t>
        </is>
      </c>
      <c r="C351" t="n">
        <v>2</v>
      </c>
      <c r="D351" t="n">
        <v>9</v>
      </c>
      <c r="E351" t="n">
        <v>42</v>
      </c>
      <c r="F351" t="n">
        <v>20</v>
      </c>
      <c r="G351" t="n">
        <v>172344.4828679324</v>
      </c>
      <c r="H351" t="n">
        <v>340.5266224830444</v>
      </c>
      <c r="I351">
        <f>IF(H351=0, 0, G351/H351)</f>
        <v/>
      </c>
      <c r="J351">
        <f>RANK(I351, I$2:I$1111, 0)</f>
        <v/>
      </c>
      <c r="K351">
        <f>SUM(C351)</f>
        <v/>
      </c>
      <c r="L351">
        <f>SUM(K351,D351)</f>
        <v/>
      </c>
      <c r="M351">
        <f>SUM(L351,E351,F351)</f>
        <v/>
      </c>
      <c r="N351">
        <f>IF(L351=0, -1, K351/L351)</f>
        <v/>
      </c>
      <c r="O351">
        <f>IF(M351=0, -1, K351/M351)</f>
        <v/>
      </c>
      <c r="P351">
        <f>IF(M351=0, -1, L351/M351)</f>
        <v/>
      </c>
    </row>
    <row r="352">
      <c r="A352" t="inlineStr">
        <is>
          <t>RC00037</t>
        </is>
      </c>
      <c r="B352" t="inlineStr">
        <is>
          <t>北京科技大学</t>
        </is>
      </c>
      <c r="C352" t="n">
        <v>4</v>
      </c>
      <c r="D352" t="n">
        <v>29</v>
      </c>
      <c r="E352" t="n">
        <v>18</v>
      </c>
      <c r="F352" t="n">
        <v>2</v>
      </c>
      <c r="G352" t="n">
        <v>177640.6400689901</v>
      </c>
      <c r="H352" t="n">
        <v>253.4554223876294</v>
      </c>
      <c r="I352">
        <f>IF(H352=0, 0, G352/H352)</f>
        <v/>
      </c>
      <c r="J352">
        <f>RANK(I352, I$2:I$1111, 0)</f>
        <v/>
      </c>
      <c r="K352">
        <f>SUM(C352)</f>
        <v/>
      </c>
      <c r="L352">
        <f>SUM(K352,D352)</f>
        <v/>
      </c>
      <c r="M352">
        <f>SUM(L352,E352,F352)</f>
        <v/>
      </c>
      <c r="N352">
        <f>IF(L352=0, -1, K352/L352)</f>
        <v/>
      </c>
      <c r="O352">
        <f>IF(M352=0, -1, K352/M352)</f>
        <v/>
      </c>
      <c r="P352">
        <f>IF(M352=0, -1, L352/M352)</f>
        <v/>
      </c>
    </row>
    <row r="353">
      <c r="A353" t="inlineStr">
        <is>
          <t>RC00282</t>
        </is>
      </c>
      <c r="B353" t="inlineStr">
        <is>
          <t>长春理工大学</t>
        </is>
      </c>
      <c r="C353" t="n">
        <v>0</v>
      </c>
      <c r="D353" t="n">
        <v>4</v>
      </c>
      <c r="E353" t="n">
        <v>30</v>
      </c>
      <c r="F353" t="n">
        <v>19</v>
      </c>
      <c r="G353" t="n">
        <v>123610.5564985953</v>
      </c>
      <c r="H353" t="n">
        <v>266.0264199414423</v>
      </c>
      <c r="I353">
        <f>IF(H353=0, 0, G353/H353)</f>
        <v/>
      </c>
      <c r="J353">
        <f>RANK(I353, I$2:I$1111, 0)</f>
        <v/>
      </c>
      <c r="K353">
        <f>SUM(C353)</f>
        <v/>
      </c>
      <c r="L353">
        <f>SUM(K353,D353)</f>
        <v/>
      </c>
      <c r="M353">
        <f>SUM(L353,E353,F353)</f>
        <v/>
      </c>
      <c r="N353">
        <f>IF(L353=0, -1, K353/L353)</f>
        <v/>
      </c>
      <c r="O353">
        <f>IF(M353=0, -1, K353/M353)</f>
        <v/>
      </c>
      <c r="P353">
        <f>IF(M353=0, -1, L353/M353)</f>
        <v/>
      </c>
    </row>
    <row r="354">
      <c r="A354" t="inlineStr">
        <is>
          <t>RC00384</t>
        </is>
      </c>
      <c r="B354" t="inlineStr">
        <is>
          <t>温州大学</t>
        </is>
      </c>
      <c r="C354" t="n">
        <v>0</v>
      </c>
      <c r="D354" t="n">
        <v>10</v>
      </c>
      <c r="E354" t="n">
        <v>28</v>
      </c>
      <c r="F354" t="n">
        <v>15</v>
      </c>
      <c r="G354" t="n">
        <v>133846.0959858074</v>
      </c>
      <c r="H354" t="n">
        <v>264.6949221087148</v>
      </c>
      <c r="I354">
        <f>IF(H354=0, 0, G354/H354)</f>
        <v/>
      </c>
      <c r="J354">
        <f>RANK(I354, I$2:I$1111, 0)</f>
        <v/>
      </c>
      <c r="K354">
        <f>SUM(C354)</f>
        <v/>
      </c>
      <c r="L354">
        <f>SUM(K354,D354)</f>
        <v/>
      </c>
      <c r="M354">
        <f>SUM(L354,E354,F354)</f>
        <v/>
      </c>
      <c r="N354">
        <f>IF(L354=0, -1, K354/L354)</f>
        <v/>
      </c>
      <c r="O354">
        <f>IF(M354=0, -1, K354/M354)</f>
        <v/>
      </c>
      <c r="P354">
        <f>IF(M354=0, -1, L354/M354)</f>
        <v/>
      </c>
    </row>
    <row r="355">
      <c r="A355" t="inlineStr">
        <is>
          <t>RC00402</t>
        </is>
      </c>
      <c r="B355" t="inlineStr">
        <is>
          <t>安徽工程大学</t>
        </is>
      </c>
      <c r="C355" t="n">
        <v>0</v>
      </c>
      <c r="D355" t="n">
        <v>4</v>
      </c>
      <c r="E355" t="n">
        <v>29</v>
      </c>
      <c r="F355" t="n">
        <v>19</v>
      </c>
      <c r="G355" t="n">
        <v>118739.5202496521</v>
      </c>
      <c r="H355" t="n">
        <v>261.4461248217386</v>
      </c>
      <c r="I355">
        <f>IF(H355=0, 0, G355/H355)</f>
        <v/>
      </c>
      <c r="J355">
        <f>RANK(I355, I$2:I$1111, 0)</f>
        <v/>
      </c>
      <c r="K355">
        <f>SUM(C355)</f>
        <v/>
      </c>
      <c r="L355">
        <f>SUM(K355,D355)</f>
        <v/>
      </c>
      <c r="M355">
        <f>SUM(L355,E355,F355)</f>
        <v/>
      </c>
      <c r="N355">
        <f>IF(L355=0, -1, K355/L355)</f>
        <v/>
      </c>
      <c r="O355">
        <f>IF(M355=0, -1, K355/M355)</f>
        <v/>
      </c>
      <c r="P355">
        <f>IF(M355=0, -1, L355/M355)</f>
        <v/>
      </c>
    </row>
    <row r="356">
      <c r="A356" t="inlineStr">
        <is>
          <t>RC00360</t>
        </is>
      </c>
      <c r="B356" t="inlineStr">
        <is>
          <t>苏州科技大学</t>
        </is>
      </c>
      <c r="C356" t="n">
        <v>0</v>
      </c>
      <c r="D356" t="n">
        <v>4</v>
      </c>
      <c r="E356" t="n">
        <v>32</v>
      </c>
      <c r="F356" t="n">
        <v>24</v>
      </c>
      <c r="G356" t="n">
        <v>136227.4091634331</v>
      </c>
      <c r="H356" t="n">
        <v>299.0639641034012</v>
      </c>
      <c r="I356">
        <f>IF(H356=0, 0, G356/H356)</f>
        <v/>
      </c>
      <c r="J356">
        <f>RANK(I356, I$2:I$1111, 0)</f>
        <v/>
      </c>
      <c r="K356">
        <f>SUM(C356)</f>
        <v/>
      </c>
      <c r="L356">
        <f>SUM(K356,D356)</f>
        <v/>
      </c>
      <c r="M356">
        <f>SUM(L356,E356,F356)</f>
        <v/>
      </c>
      <c r="N356">
        <f>IF(L356=0, -1, K356/L356)</f>
        <v/>
      </c>
      <c r="O356">
        <f>IF(M356=0, -1, K356/M356)</f>
        <v/>
      </c>
      <c r="P356">
        <f>IF(M356=0, -1, L356/M356)</f>
        <v/>
      </c>
    </row>
    <row r="357">
      <c r="A357" t="inlineStr">
        <is>
          <t>RC00389</t>
        </is>
      </c>
      <c r="B357" t="inlineStr">
        <is>
          <t>中国计量大学</t>
        </is>
      </c>
      <c r="C357" t="n">
        <v>2</v>
      </c>
      <c r="D357" t="n">
        <v>3</v>
      </c>
      <c r="E357" t="n">
        <v>27</v>
      </c>
      <c r="F357" t="n">
        <v>10</v>
      </c>
      <c r="G357" t="n">
        <v>104709.7958651008</v>
      </c>
      <c r="H357" t="n">
        <v>210.8182110854262</v>
      </c>
      <c r="I357">
        <f>IF(H357=0, 0, G357/H357)</f>
        <v/>
      </c>
      <c r="J357">
        <f>RANK(I357, I$2:I$1111, 0)</f>
        <v/>
      </c>
      <c r="K357">
        <f>SUM(C357)</f>
        <v/>
      </c>
      <c r="L357">
        <f>SUM(K357,D357)</f>
        <v/>
      </c>
      <c r="M357">
        <f>SUM(L357,E357,F357)</f>
        <v/>
      </c>
      <c r="N357">
        <f>IF(L357=0, -1, K357/L357)</f>
        <v/>
      </c>
      <c r="O357">
        <f>IF(M357=0, -1, K357/M357)</f>
        <v/>
      </c>
      <c r="P357">
        <f>IF(M357=0, -1, L357/M357)</f>
        <v/>
      </c>
    </row>
    <row r="358">
      <c r="A358" t="inlineStr">
        <is>
          <t>RC00164</t>
        </is>
      </c>
      <c r="B358" t="inlineStr">
        <is>
          <t>天津科技大学</t>
        </is>
      </c>
      <c r="C358" t="n">
        <v>0</v>
      </c>
      <c r="D358" t="n">
        <v>4</v>
      </c>
      <c r="E358" t="n">
        <v>30</v>
      </c>
      <c r="F358" t="n">
        <v>19</v>
      </c>
      <c r="G358" t="n">
        <v>122592.350009944</v>
      </c>
      <c r="H358" t="n">
        <v>262.8329388988387</v>
      </c>
      <c r="I358">
        <f>IF(H358=0, 0, G358/H358)</f>
        <v/>
      </c>
      <c r="J358">
        <f>RANK(I358, I$2:I$1111, 0)</f>
        <v/>
      </c>
      <c r="K358">
        <f>SUM(C358)</f>
        <v/>
      </c>
      <c r="L358">
        <f>SUM(K358,D358)</f>
        <v/>
      </c>
      <c r="M358">
        <f>SUM(L358,E358,F358)</f>
        <v/>
      </c>
      <c r="N358">
        <f>IF(L358=0, -1, K358/L358)</f>
        <v/>
      </c>
      <c r="O358">
        <f>IF(M358=0, -1, K358/M358)</f>
        <v/>
      </c>
      <c r="P358">
        <f>IF(M358=0, -1, L358/M358)</f>
        <v/>
      </c>
    </row>
    <row r="359">
      <c r="A359" t="inlineStr">
        <is>
          <t>RC00189</t>
        </is>
      </c>
      <c r="B359" t="inlineStr">
        <is>
          <t>河北师范大学</t>
        </is>
      </c>
      <c r="C359" t="n">
        <v>3</v>
      </c>
      <c r="D359" t="n">
        <v>4</v>
      </c>
      <c r="E359" t="n">
        <v>44</v>
      </c>
      <c r="F359" t="n">
        <v>16</v>
      </c>
      <c r="G359" t="n">
        <v>162239.2439310124</v>
      </c>
      <c r="H359" t="n">
        <v>322.6322465942931</v>
      </c>
      <c r="I359">
        <f>IF(H359=0, 0, G359/H359)</f>
        <v/>
      </c>
      <c r="J359">
        <f>RANK(I359, I$2:I$1111, 0)</f>
        <v/>
      </c>
      <c r="K359">
        <f>SUM(C359)</f>
        <v/>
      </c>
      <c r="L359">
        <f>SUM(K359,D359)</f>
        <v/>
      </c>
      <c r="M359">
        <f>SUM(L359,E359,F359)</f>
        <v/>
      </c>
      <c r="N359">
        <f>IF(L359=0, -1, K359/L359)</f>
        <v/>
      </c>
      <c r="O359">
        <f>IF(M359=0, -1, K359/M359)</f>
        <v/>
      </c>
      <c r="P359">
        <f>IF(M359=0, -1, L359/M359)</f>
        <v/>
      </c>
    </row>
    <row r="360">
      <c r="A360" t="inlineStr">
        <is>
          <t>RC00348</t>
        </is>
      </c>
      <c r="B360" t="inlineStr">
        <is>
          <t>江苏科技大学</t>
        </is>
      </c>
      <c r="C360" t="n">
        <v>0</v>
      </c>
      <c r="D360" t="n">
        <v>3</v>
      </c>
      <c r="E360" t="n">
        <v>38</v>
      </c>
      <c r="F360" t="n">
        <v>27</v>
      </c>
      <c r="G360" t="n">
        <v>148075.4430215307</v>
      </c>
      <c r="H360" t="n">
        <v>311.6153127984257</v>
      </c>
      <c r="I360">
        <f>IF(H360=0, 0, G360/H360)</f>
        <v/>
      </c>
      <c r="J360">
        <f>RANK(I360, I$2:I$1111, 0)</f>
        <v/>
      </c>
      <c r="K360">
        <f>SUM(C360)</f>
        <v/>
      </c>
      <c r="L360">
        <f>SUM(K360,D360)</f>
        <v/>
      </c>
      <c r="M360">
        <f>SUM(L360,E360,F360)</f>
        <v/>
      </c>
      <c r="N360">
        <f>IF(L360=0, -1, K360/L360)</f>
        <v/>
      </c>
      <c r="O360">
        <f>IF(M360=0, -1, K360/M360)</f>
        <v/>
      </c>
      <c r="P360">
        <f>IF(M360=0, -1, L360/M360)</f>
        <v/>
      </c>
    </row>
    <row r="361">
      <c r="A361" t="inlineStr">
        <is>
          <t>RC00378</t>
        </is>
      </c>
      <c r="B361" t="inlineStr">
        <is>
          <t>浙江农林大学</t>
        </is>
      </c>
      <c r="C361" t="n">
        <v>0</v>
      </c>
      <c r="D361" t="n">
        <v>6</v>
      </c>
      <c r="E361" t="n">
        <v>34</v>
      </c>
      <c r="F361" t="n">
        <v>11</v>
      </c>
      <c r="G361" t="n">
        <v>115976.4433320834</v>
      </c>
      <c r="H361" t="n">
        <v>237.0005353496378</v>
      </c>
      <c r="I361">
        <f>IF(H361=0, 0, G361/H361)</f>
        <v/>
      </c>
      <c r="J361">
        <f>RANK(I361, I$2:I$1111, 0)</f>
        <v/>
      </c>
      <c r="K361">
        <f>SUM(C361)</f>
        <v/>
      </c>
      <c r="L361">
        <f>SUM(K361,D361)</f>
        <v/>
      </c>
      <c r="M361">
        <f>SUM(L361,E361,F361)</f>
        <v/>
      </c>
      <c r="N361">
        <f>IF(L361=0, -1, K361/L361)</f>
        <v/>
      </c>
      <c r="O361">
        <f>IF(M361=0, -1, K361/M361)</f>
        <v/>
      </c>
      <c r="P361">
        <f>IF(M361=0, -1, L361/M361)</f>
        <v/>
      </c>
    </row>
    <row r="362">
      <c r="A362" t="inlineStr">
        <is>
          <t>RC01035</t>
        </is>
      </c>
      <c r="B362" t="inlineStr">
        <is>
          <t>无锡学院</t>
        </is>
      </c>
      <c r="C362" t="n">
        <v>0</v>
      </c>
      <c r="D362" t="n">
        <v>0</v>
      </c>
      <c r="E362" t="n">
        <v>4</v>
      </c>
      <c r="F362" t="n">
        <v>21</v>
      </c>
      <c r="G362" t="n">
        <v>42715.67139582658</v>
      </c>
      <c r="H362" t="n">
        <v>128.4070035612316</v>
      </c>
      <c r="I362">
        <f>IF(H362=0, 0, G362/H362)</f>
        <v/>
      </c>
      <c r="J362">
        <f>RANK(I362, I$2:I$1111, 0)</f>
        <v/>
      </c>
      <c r="K362">
        <f>SUM(C362)</f>
        <v/>
      </c>
      <c r="L362">
        <f>SUM(K362,D362)</f>
        <v/>
      </c>
      <c r="M362">
        <f>SUM(L362,E362,F362)</f>
        <v/>
      </c>
      <c r="N362">
        <f>IF(L362=0, -1, K362/L362)</f>
        <v/>
      </c>
      <c r="O362">
        <f>IF(M362=0, -1, K362/M362)</f>
        <v/>
      </c>
      <c r="P362">
        <f>IF(M362=0, -1, L362/M362)</f>
        <v/>
      </c>
    </row>
    <row r="363">
      <c r="A363" t="inlineStr">
        <is>
          <t>RC00184</t>
        </is>
      </c>
      <c r="B363" t="inlineStr">
        <is>
          <t>河北科技大学</t>
        </is>
      </c>
      <c r="C363" t="n">
        <v>0</v>
      </c>
      <c r="D363" t="n">
        <v>0</v>
      </c>
      <c r="E363" t="n">
        <v>17</v>
      </c>
      <c r="F363" t="n">
        <v>45</v>
      </c>
      <c r="G363" t="n">
        <v>119349.6486429342</v>
      </c>
      <c r="H363" t="n">
        <v>304.4076656548006</v>
      </c>
      <c r="I363">
        <f>IF(H363=0, 0, G363/H363)</f>
        <v/>
      </c>
      <c r="J363">
        <f>RANK(I363, I$2:I$1111, 0)</f>
        <v/>
      </c>
      <c r="K363">
        <f>SUM(C363)</f>
        <v/>
      </c>
      <c r="L363">
        <f>SUM(K363,D363)</f>
        <v/>
      </c>
      <c r="M363">
        <f>SUM(L363,E363,F363)</f>
        <v/>
      </c>
      <c r="N363">
        <f>IF(L363=0, -1, K363/L363)</f>
        <v/>
      </c>
      <c r="O363">
        <f>IF(M363=0, -1, K363/M363)</f>
        <v/>
      </c>
      <c r="P363">
        <f>IF(M363=0, -1, L363/M363)</f>
        <v/>
      </c>
    </row>
    <row r="364">
      <c r="A364" t="inlineStr">
        <is>
          <t>RC00409</t>
        </is>
      </c>
      <c r="B364" t="inlineStr">
        <is>
          <t>安庆师范大学</t>
        </is>
      </c>
      <c r="C364" t="n">
        <v>0</v>
      </c>
      <c r="D364" t="n">
        <v>1</v>
      </c>
      <c r="E364" t="n">
        <v>18</v>
      </c>
      <c r="F364" t="n">
        <v>34</v>
      </c>
      <c r="G364" t="n">
        <v>103108.1274086643</v>
      </c>
      <c r="H364" t="n">
        <v>271.3049227182893</v>
      </c>
      <c r="I364">
        <f>IF(H364=0, 0, G364/H364)</f>
        <v/>
      </c>
      <c r="J364">
        <f>RANK(I364, I$2:I$1111, 0)</f>
        <v/>
      </c>
      <c r="K364">
        <f>SUM(C364)</f>
        <v/>
      </c>
      <c r="L364">
        <f>SUM(K364,D364)</f>
        <v/>
      </c>
      <c r="M364">
        <f>SUM(L364,E364,F364)</f>
        <v/>
      </c>
      <c r="N364">
        <f>IF(L364=0, -1, K364/L364)</f>
        <v/>
      </c>
      <c r="O364">
        <f>IF(M364=0, -1, K364/M364)</f>
        <v/>
      </c>
      <c r="P364">
        <f>IF(M364=0, -1, L364/M364)</f>
        <v/>
      </c>
    </row>
    <row r="365">
      <c r="A365" t="inlineStr">
        <is>
          <t>RC00588</t>
        </is>
      </c>
      <c r="B365" t="inlineStr">
        <is>
          <t>湖南工业大学</t>
        </is>
      </c>
      <c r="C365" t="n">
        <v>1</v>
      </c>
      <c r="D365" t="n">
        <v>5</v>
      </c>
      <c r="E365" t="n">
        <v>24</v>
      </c>
      <c r="F365" t="n">
        <v>37</v>
      </c>
      <c r="G365" t="n">
        <v>138721.6172329034</v>
      </c>
      <c r="H365" t="n">
        <v>322.9408372049542</v>
      </c>
      <c r="I365">
        <f>IF(H365=0, 0, G365/H365)</f>
        <v/>
      </c>
      <c r="J365">
        <f>RANK(I365, I$2:I$1111, 0)</f>
        <v/>
      </c>
      <c r="K365">
        <f>SUM(C365)</f>
        <v/>
      </c>
      <c r="L365">
        <f>SUM(K365,D365)</f>
        <v/>
      </c>
      <c r="M365">
        <f>SUM(L365,E365,F365)</f>
        <v/>
      </c>
      <c r="N365">
        <f>IF(L365=0, -1, K365/L365)</f>
        <v/>
      </c>
      <c r="O365">
        <f>IF(M365=0, -1, K365/M365)</f>
        <v/>
      </c>
      <c r="P365">
        <f>IF(M365=0, -1, L365/M365)</f>
        <v/>
      </c>
    </row>
    <row r="366">
      <c r="A366" t="inlineStr">
        <is>
          <t>RC00572</t>
        </is>
      </c>
      <c r="B366" t="inlineStr">
        <is>
          <t>湖南理工学院</t>
        </is>
      </c>
      <c r="C366" t="n">
        <v>0</v>
      </c>
      <c r="D366" t="n">
        <v>0</v>
      </c>
      <c r="E366" t="n">
        <v>10</v>
      </c>
      <c r="F366" t="n">
        <v>29</v>
      </c>
      <c r="G366" t="n">
        <v>74539.56330670645</v>
      </c>
      <c r="H366" t="n">
        <v>203.3953100221652</v>
      </c>
      <c r="I366">
        <f>IF(H366=0, 0, G366/H366)</f>
        <v/>
      </c>
      <c r="J366">
        <f>RANK(I366, I$2:I$1111, 0)</f>
        <v/>
      </c>
      <c r="K366">
        <f>SUM(C366)</f>
        <v/>
      </c>
      <c r="L366">
        <f>SUM(K366,D366)</f>
        <v/>
      </c>
      <c r="M366">
        <f>SUM(L366,E366,F366)</f>
        <v/>
      </c>
      <c r="N366">
        <f>IF(L366=0, -1, K366/L366)</f>
        <v/>
      </c>
      <c r="O366">
        <f>IF(M366=0, -1, K366/M366)</f>
        <v/>
      </c>
      <c r="P366">
        <f>IF(M366=0, -1, L366/M366)</f>
        <v/>
      </c>
    </row>
    <row r="367">
      <c r="A367" t="inlineStr">
        <is>
          <t>RC00283</t>
        </is>
      </c>
      <c r="B367" t="inlineStr">
        <is>
          <t>东北电力大学</t>
        </is>
      </c>
      <c r="C367" t="n">
        <v>0</v>
      </c>
      <c r="D367" t="n">
        <v>2</v>
      </c>
      <c r="E367" t="n">
        <v>27</v>
      </c>
      <c r="F367" t="n">
        <v>14</v>
      </c>
      <c r="G367" t="n">
        <v>94805.75309047413</v>
      </c>
      <c r="H367" t="n">
        <v>218.9815541294884</v>
      </c>
      <c r="I367">
        <f>IF(H367=0, 0, G367/H367)</f>
        <v/>
      </c>
      <c r="J367">
        <f>RANK(I367, I$2:I$1111, 0)</f>
        <v/>
      </c>
      <c r="K367">
        <f>SUM(C367)</f>
        <v/>
      </c>
      <c r="L367">
        <f>SUM(K367,D367)</f>
        <v/>
      </c>
      <c r="M367">
        <f>SUM(L367,E367,F367)</f>
        <v/>
      </c>
      <c r="N367">
        <f>IF(L367=0, -1, K367/L367)</f>
        <v/>
      </c>
      <c r="O367">
        <f>IF(M367=0, -1, K367/M367)</f>
        <v/>
      </c>
      <c r="P367">
        <f>IF(M367=0, -1, L367/M367)</f>
        <v/>
      </c>
    </row>
    <row r="368">
      <c r="A368" t="inlineStr">
        <is>
          <t>RC00392</t>
        </is>
      </c>
      <c r="B368" t="inlineStr">
        <is>
          <t>浙江科技大学</t>
        </is>
      </c>
      <c r="C368" t="n">
        <v>0</v>
      </c>
      <c r="D368" t="n">
        <v>0</v>
      </c>
      <c r="E368" t="n">
        <v>20</v>
      </c>
      <c r="F368" t="n">
        <v>22</v>
      </c>
      <c r="G368" t="n">
        <v>87189.74246251264</v>
      </c>
      <c r="H368" t="n">
        <v>219.9942261230805</v>
      </c>
      <c r="I368">
        <f>IF(H368=0, 0, G368/H368)</f>
        <v/>
      </c>
      <c r="J368">
        <f>RANK(I368, I$2:I$1111, 0)</f>
        <v/>
      </c>
      <c r="K368">
        <f>SUM(C368)</f>
        <v/>
      </c>
      <c r="L368">
        <f>SUM(K368,D368)</f>
        <v/>
      </c>
      <c r="M368">
        <f>SUM(L368,E368,F368)</f>
        <v/>
      </c>
      <c r="N368">
        <f>IF(L368=0, -1, K368/L368)</f>
        <v/>
      </c>
      <c r="O368">
        <f>IF(M368=0, -1, K368/M368)</f>
        <v/>
      </c>
      <c r="P368">
        <f>IF(M368=0, -1, L368/M368)</f>
        <v/>
      </c>
    </row>
    <row r="369">
      <c r="A369" t="inlineStr">
        <is>
          <t>RC00350</t>
        </is>
      </c>
      <c r="B369" t="inlineStr">
        <is>
          <t>盐城工学院</t>
        </is>
      </c>
      <c r="C369" t="n">
        <v>0</v>
      </c>
      <c r="D369" t="n">
        <v>0</v>
      </c>
      <c r="E369" t="n">
        <v>9</v>
      </c>
      <c r="F369" t="n">
        <v>33</v>
      </c>
      <c r="G369" t="n">
        <v>74542.7527585411</v>
      </c>
      <c r="H369" t="n">
        <v>212.7416045792781</v>
      </c>
      <c r="I369">
        <f>IF(H369=0, 0, G369/H369)</f>
        <v/>
      </c>
      <c r="J369">
        <f>RANK(I369, I$2:I$1111, 0)</f>
        <v/>
      </c>
      <c r="K369">
        <f>SUM(C369)</f>
        <v/>
      </c>
      <c r="L369">
        <f>SUM(K369,D369)</f>
        <v/>
      </c>
      <c r="M369">
        <f>SUM(L369,E369,F369)</f>
        <v/>
      </c>
      <c r="N369">
        <f>IF(L369=0, -1, K369/L369)</f>
        <v/>
      </c>
      <c r="O369">
        <f>IF(M369=0, -1, K369/M369)</f>
        <v/>
      </c>
      <c r="P369">
        <f>IF(M369=0, -1, L369/M369)</f>
        <v/>
      </c>
    </row>
    <row r="370">
      <c r="A370" t="inlineStr">
        <is>
          <t>RC00399</t>
        </is>
      </c>
      <c r="B370" t="inlineStr">
        <is>
          <t>浙江外国语学院</t>
        </is>
      </c>
      <c r="C370" t="n">
        <v>0</v>
      </c>
      <c r="D370" t="n">
        <v>2</v>
      </c>
      <c r="E370" t="n">
        <v>15</v>
      </c>
      <c r="F370" t="n">
        <v>10</v>
      </c>
      <c r="G370" t="n">
        <v>60564.58113850043</v>
      </c>
      <c r="H370" t="n">
        <v>133.2557223281773</v>
      </c>
      <c r="I370">
        <f>IF(H370=0, 0, G370/H370)</f>
        <v/>
      </c>
      <c r="J370">
        <f>RANK(I370, I$2:I$1111, 0)</f>
        <v/>
      </c>
      <c r="K370">
        <f>SUM(C370)</f>
        <v/>
      </c>
      <c r="L370">
        <f>SUM(K370,D370)</f>
        <v/>
      </c>
      <c r="M370">
        <f>SUM(L370,E370,F370)</f>
        <v/>
      </c>
      <c r="N370">
        <f>IF(L370=0, -1, K370/L370)</f>
        <v/>
      </c>
      <c r="O370">
        <f>IF(M370=0, -1, K370/M370)</f>
        <v/>
      </c>
      <c r="P370">
        <f>IF(M370=0, -1, L370/M370)</f>
        <v/>
      </c>
    </row>
    <row r="371">
      <c r="A371" t="inlineStr">
        <is>
          <t>RC00578</t>
        </is>
      </c>
      <c r="B371" t="inlineStr">
        <is>
          <t>湖南科技学院</t>
        </is>
      </c>
      <c r="C371" t="n">
        <v>0</v>
      </c>
      <c r="D371" t="n">
        <v>0</v>
      </c>
      <c r="E371" t="n">
        <v>2</v>
      </c>
      <c r="F371" t="n">
        <v>29</v>
      </c>
      <c r="G371" t="n">
        <v>52368.82419442934</v>
      </c>
      <c r="H371" t="n">
        <v>163.9576152153158</v>
      </c>
      <c r="I371">
        <f>IF(H371=0, 0, G371/H371)</f>
        <v/>
      </c>
      <c r="J371">
        <f>RANK(I371, I$2:I$1111, 0)</f>
        <v/>
      </c>
      <c r="K371">
        <f>SUM(C371)</f>
        <v/>
      </c>
      <c r="L371">
        <f>SUM(K371,D371)</f>
        <v/>
      </c>
      <c r="M371">
        <f>SUM(L371,E371,F371)</f>
        <v/>
      </c>
      <c r="N371">
        <f>IF(L371=0, -1, K371/L371)</f>
        <v/>
      </c>
      <c r="O371">
        <f>IF(M371=0, -1, K371/M371)</f>
        <v/>
      </c>
      <c r="P371">
        <f>IF(M371=0, -1, L371/M371)</f>
        <v/>
      </c>
    </row>
    <row r="372">
      <c r="A372" t="inlineStr">
        <is>
          <t>RC00381</t>
        </is>
      </c>
      <c r="B372" t="inlineStr">
        <is>
          <t>湖州师范学院</t>
        </is>
      </c>
      <c r="C372" t="n">
        <v>0</v>
      </c>
      <c r="D372" t="n">
        <v>2</v>
      </c>
      <c r="E372" t="n">
        <v>17</v>
      </c>
      <c r="F372" t="n">
        <v>21</v>
      </c>
      <c r="G372" t="n">
        <v>86828.79076464372</v>
      </c>
      <c r="H372" t="n">
        <v>210.5160464430029</v>
      </c>
      <c r="I372">
        <f>IF(H372=0, 0, G372/H372)</f>
        <v/>
      </c>
      <c r="J372">
        <f>RANK(I372, I$2:I$1111, 0)</f>
        <v/>
      </c>
      <c r="K372">
        <f>SUM(C372)</f>
        <v/>
      </c>
      <c r="L372">
        <f>SUM(K372,D372)</f>
        <v/>
      </c>
      <c r="M372">
        <f>SUM(L372,E372,F372)</f>
        <v/>
      </c>
      <c r="N372">
        <f>IF(L372=0, -1, K372/L372)</f>
        <v/>
      </c>
      <c r="O372">
        <f>IF(M372=0, -1, K372/M372)</f>
        <v/>
      </c>
      <c r="P372">
        <f>IF(M372=0, -1, L372/M372)</f>
        <v/>
      </c>
    </row>
    <row r="373">
      <c r="A373" t="inlineStr">
        <is>
          <t>RC01042</t>
        </is>
      </c>
      <c r="B373" t="inlineStr">
        <is>
          <t>南京邮电大学通达学院</t>
        </is>
      </c>
      <c r="C373" t="n">
        <v>0</v>
      </c>
      <c r="D373" t="n">
        <v>0</v>
      </c>
      <c r="E373" t="n">
        <v>0</v>
      </c>
      <c r="F373" t="n">
        <v>5</v>
      </c>
      <c r="G373" t="n">
        <v>6410.958437615491</v>
      </c>
      <c r="H373" t="n">
        <v>24.86870111503842</v>
      </c>
      <c r="I373">
        <f>IF(H373=0, 0, G373/H373)</f>
        <v/>
      </c>
      <c r="J373">
        <f>RANK(I373, I$2:I$1111, 0)</f>
        <v/>
      </c>
      <c r="K373">
        <f>SUM(C373)</f>
        <v/>
      </c>
      <c r="L373">
        <f>SUM(K373,D373)</f>
        <v/>
      </c>
      <c r="M373">
        <f>SUM(L373,E373,F373)</f>
        <v/>
      </c>
      <c r="N373">
        <f>IF(L373=0, -1, K373/L373)</f>
        <v/>
      </c>
      <c r="O373">
        <f>IF(M373=0, -1, K373/M373)</f>
        <v/>
      </c>
      <c r="P373">
        <f>IF(M373=0, -1, L373/M373)</f>
        <v/>
      </c>
    </row>
    <row r="374">
      <c r="A374" t="inlineStr">
        <is>
          <t>RC00302</t>
        </is>
      </c>
      <c r="B374" t="inlineStr">
        <is>
          <t>长春大学</t>
        </is>
      </c>
      <c r="C374" t="n">
        <v>0</v>
      </c>
      <c r="D374" t="n">
        <v>0</v>
      </c>
      <c r="E374" t="n">
        <v>3</v>
      </c>
      <c r="F374" t="n">
        <v>33</v>
      </c>
      <c r="G374" t="n">
        <v>64257.73828549623</v>
      </c>
      <c r="H374" t="n">
        <v>192.6175131286869</v>
      </c>
      <c r="I374">
        <f>IF(H374=0, 0, G374/H374)</f>
        <v/>
      </c>
      <c r="J374">
        <f>RANK(I374, I$2:I$1111, 0)</f>
        <v/>
      </c>
      <c r="K374">
        <f>SUM(C374)</f>
        <v/>
      </c>
      <c r="L374">
        <f>SUM(K374,D374)</f>
        <v/>
      </c>
      <c r="M374">
        <f>SUM(L374,E374,F374)</f>
        <v/>
      </c>
      <c r="N374">
        <f>IF(L374=0, -1, K374/L374)</f>
        <v/>
      </c>
      <c r="O374">
        <f>IF(M374=0, -1, K374/M374)</f>
        <v/>
      </c>
      <c r="P374">
        <f>IF(M374=0, -1, L374/M374)</f>
        <v/>
      </c>
    </row>
    <row r="375">
      <c r="A375" t="inlineStr">
        <is>
          <t>RC00393</t>
        </is>
      </c>
      <c r="B375" t="inlineStr">
        <is>
          <t>宁波工程学院</t>
        </is>
      </c>
      <c r="C375" t="n">
        <v>0</v>
      </c>
      <c r="D375" t="n">
        <v>1</v>
      </c>
      <c r="E375" t="n">
        <v>9</v>
      </c>
      <c r="F375" t="n">
        <v>22</v>
      </c>
      <c r="G375" t="n">
        <v>60861.48223101005</v>
      </c>
      <c r="H375" t="n">
        <v>166.9903099100458</v>
      </c>
      <c r="I375">
        <f>IF(H375=0, 0, G375/H375)</f>
        <v/>
      </c>
      <c r="J375">
        <f>RANK(I375, I$2:I$1111, 0)</f>
        <v/>
      </c>
      <c r="K375">
        <f>SUM(C375)</f>
        <v/>
      </c>
      <c r="L375">
        <f>SUM(K375,D375)</f>
        <v/>
      </c>
      <c r="M375">
        <f>SUM(L375,E375,F375)</f>
        <v/>
      </c>
      <c r="N375">
        <f>IF(L375=0, -1, K375/L375)</f>
        <v/>
      </c>
      <c r="O375">
        <f>IF(M375=0, -1, K375/M375)</f>
        <v/>
      </c>
      <c r="P375">
        <f>IF(M375=0, -1, L375/M375)</f>
        <v/>
      </c>
    </row>
    <row r="376">
      <c r="A376" t="inlineStr">
        <is>
          <t>RC00435</t>
        </is>
      </c>
      <c r="B376" t="inlineStr">
        <is>
          <t>厦门理工学院</t>
        </is>
      </c>
      <c r="C376" t="n">
        <v>0</v>
      </c>
      <c r="D376" t="n">
        <v>1</v>
      </c>
      <c r="E376" t="n">
        <v>25</v>
      </c>
      <c r="F376" t="n">
        <v>26</v>
      </c>
      <c r="G376" t="n">
        <v>102244.4671836106</v>
      </c>
      <c r="H376" t="n">
        <v>259.4184638236762</v>
      </c>
      <c r="I376">
        <f>IF(H376=0, 0, G376/H376)</f>
        <v/>
      </c>
      <c r="J376">
        <f>RANK(I376, I$2:I$1111, 0)</f>
        <v/>
      </c>
      <c r="K376">
        <f>SUM(C376)</f>
        <v/>
      </c>
      <c r="L376">
        <f>SUM(K376,D376)</f>
        <v/>
      </c>
      <c r="M376">
        <f>SUM(L376,E376,F376)</f>
        <v/>
      </c>
      <c r="N376">
        <f>IF(L376=0, -1, K376/L376)</f>
        <v/>
      </c>
      <c r="O376">
        <f>IF(M376=0, -1, K376/M376)</f>
        <v/>
      </c>
      <c r="P376">
        <f>IF(M376=0, -1, L376/M376)</f>
        <v/>
      </c>
    </row>
    <row r="377">
      <c r="A377" t="inlineStr">
        <is>
          <t>RC01248</t>
        </is>
      </c>
      <c r="B377" t="inlineStr">
        <is>
          <t>福建商学院</t>
        </is>
      </c>
      <c r="C377" t="n">
        <v>1</v>
      </c>
      <c r="D377" t="n">
        <v>0</v>
      </c>
      <c r="E377" t="n">
        <v>5</v>
      </c>
      <c r="F377" t="n">
        <v>13</v>
      </c>
      <c r="G377" t="n">
        <v>32084.34095435968</v>
      </c>
      <c r="H377" t="n">
        <v>85.74166062573289</v>
      </c>
      <c r="I377">
        <f>IF(H377=0, 0, G377/H377)</f>
        <v/>
      </c>
      <c r="J377">
        <f>RANK(I377, I$2:I$1111, 0)</f>
        <v/>
      </c>
      <c r="K377">
        <f>SUM(C377)</f>
        <v/>
      </c>
      <c r="L377">
        <f>SUM(K377,D377)</f>
        <v/>
      </c>
      <c r="M377">
        <f>SUM(L377,E377,F377)</f>
        <v/>
      </c>
      <c r="N377">
        <f>IF(L377=0, -1, K377/L377)</f>
        <v/>
      </c>
      <c r="O377">
        <f>IF(M377=0, -1, K377/M377)</f>
        <v/>
      </c>
      <c r="P377">
        <f>IF(M377=0, -1, L377/M377)</f>
        <v/>
      </c>
    </row>
    <row r="378">
      <c r="A378" t="inlineStr">
        <is>
          <t>RC00420</t>
        </is>
      </c>
      <c r="B378" t="inlineStr">
        <is>
          <t>安徽科技学院</t>
        </is>
      </c>
      <c r="C378" t="n">
        <v>0</v>
      </c>
      <c r="D378" t="n">
        <v>0</v>
      </c>
      <c r="E378" t="n">
        <v>3</v>
      </c>
      <c r="F378" t="n">
        <v>28</v>
      </c>
      <c r="G378" t="n">
        <v>51999.84708268158</v>
      </c>
      <c r="H378" t="n">
        <v>152.5074761112033</v>
      </c>
      <c r="I378">
        <f>IF(H378=0, 0, G378/H378)</f>
        <v/>
      </c>
      <c r="J378">
        <f>RANK(I378, I$2:I$1111, 0)</f>
        <v/>
      </c>
      <c r="K378">
        <f>SUM(C378)</f>
        <v/>
      </c>
      <c r="L378">
        <f>SUM(K378,D378)</f>
        <v/>
      </c>
      <c r="M378">
        <f>SUM(L378,E378,F378)</f>
        <v/>
      </c>
      <c r="N378">
        <f>IF(L378=0, -1, K378/L378)</f>
        <v/>
      </c>
      <c r="O378">
        <f>IF(M378=0, -1, K378/M378)</f>
        <v/>
      </c>
      <c r="P378">
        <f>IF(M378=0, -1, L378/M378)</f>
        <v/>
      </c>
    </row>
    <row r="379">
      <c r="A379" t="inlineStr">
        <is>
          <t>RC00693</t>
        </is>
      </c>
      <c r="B379" t="inlineStr">
        <is>
          <t>铜仁学院</t>
        </is>
      </c>
      <c r="C379" t="n">
        <v>0</v>
      </c>
      <c r="D379" t="n">
        <v>0</v>
      </c>
      <c r="E379" t="n">
        <v>8</v>
      </c>
      <c r="F379" t="n">
        <v>10</v>
      </c>
      <c r="G379" t="n">
        <v>33627.21407787976</v>
      </c>
      <c r="H379" t="n">
        <v>92.69023248449345</v>
      </c>
      <c r="I379">
        <f>IF(H379=0, 0, G379/H379)</f>
        <v/>
      </c>
      <c r="J379">
        <f>RANK(I379, I$2:I$1111, 0)</f>
        <v/>
      </c>
      <c r="K379">
        <f>SUM(C379)</f>
        <v/>
      </c>
      <c r="L379">
        <f>SUM(K379,D379)</f>
        <v/>
      </c>
      <c r="M379">
        <f>SUM(L379,E379,F379)</f>
        <v/>
      </c>
      <c r="N379">
        <f>IF(L379=0, -1, K379/L379)</f>
        <v/>
      </c>
      <c r="O379">
        <f>IF(M379=0, -1, K379/M379)</f>
        <v/>
      </c>
      <c r="P379">
        <f>IF(M379=0, -1, L379/M379)</f>
        <v/>
      </c>
    </row>
    <row r="380">
      <c r="A380" t="inlineStr">
        <is>
          <t>RC00180</t>
        </is>
      </c>
      <c r="B380" t="inlineStr">
        <is>
          <t>河北工程大学</t>
        </is>
      </c>
      <c r="C380" t="n">
        <v>0</v>
      </c>
      <c r="D380" t="n">
        <v>0</v>
      </c>
      <c r="E380" t="n">
        <v>9</v>
      </c>
      <c r="F380" t="n">
        <v>35</v>
      </c>
      <c r="G380" t="n">
        <v>76761.23438517498</v>
      </c>
      <c r="H380" t="n">
        <v>216.5178703336224</v>
      </c>
      <c r="I380">
        <f>IF(H380=0, 0, G380/H380)</f>
        <v/>
      </c>
      <c r="J380">
        <f>RANK(I380, I$2:I$1111, 0)</f>
        <v/>
      </c>
      <c r="K380">
        <f>SUM(C380)</f>
        <v/>
      </c>
      <c r="L380">
        <f>SUM(K380,D380)</f>
        <v/>
      </c>
      <c r="M380">
        <f>SUM(L380,E380,F380)</f>
        <v/>
      </c>
      <c r="N380">
        <f>IF(L380=0, -1, K380/L380)</f>
        <v/>
      </c>
      <c r="O380">
        <f>IF(M380=0, -1, K380/M380)</f>
        <v/>
      </c>
      <c r="P380">
        <f>IF(M380=0, -1, L380/M380)</f>
        <v/>
      </c>
    </row>
    <row r="381">
      <c r="A381" t="inlineStr">
        <is>
          <t>RC00553</t>
        </is>
      </c>
      <c r="B381" t="inlineStr">
        <is>
          <t>湖北工程学院</t>
        </is>
      </c>
      <c r="C381" t="n">
        <v>0</v>
      </c>
      <c r="D381" t="n">
        <v>0</v>
      </c>
      <c r="E381" t="n">
        <v>2</v>
      </c>
      <c r="F381" t="n">
        <v>23</v>
      </c>
      <c r="G381" t="n">
        <v>40092.63893226795</v>
      </c>
      <c r="H381" t="n">
        <v>131.8692677760343</v>
      </c>
      <c r="I381">
        <f>IF(H381=0, 0, G381/H381)</f>
        <v/>
      </c>
      <c r="J381">
        <f>RANK(I381, I$2:I$1111, 0)</f>
        <v/>
      </c>
      <c r="K381">
        <f>SUM(C381)</f>
        <v/>
      </c>
      <c r="L381">
        <f>SUM(K381,D381)</f>
        <v/>
      </c>
      <c r="M381">
        <f>SUM(L381,E381,F381)</f>
        <v/>
      </c>
      <c r="N381">
        <f>IF(L381=0, -1, K381/L381)</f>
        <v/>
      </c>
      <c r="O381">
        <f>IF(M381=0, -1, K381/M381)</f>
        <v/>
      </c>
      <c r="P381">
        <f>IF(M381=0, -1, L381/M381)</f>
        <v/>
      </c>
    </row>
    <row r="382">
      <c r="A382" t="inlineStr">
        <is>
          <t>RC00394</t>
        </is>
      </c>
      <c r="B382" t="inlineStr">
        <is>
          <t>浙江水利水电学院</t>
        </is>
      </c>
      <c r="C382" t="n">
        <v>0</v>
      </c>
      <c r="D382" t="n">
        <v>0</v>
      </c>
      <c r="E382" t="n">
        <v>3</v>
      </c>
      <c r="F382" t="n">
        <v>19</v>
      </c>
      <c r="G382" t="n">
        <v>34597.97184204186</v>
      </c>
      <c r="H382" t="n">
        <v>108.0718707767937</v>
      </c>
      <c r="I382">
        <f>IF(H382=0, 0, G382/H382)</f>
        <v/>
      </c>
      <c r="J382">
        <f>RANK(I382, I$2:I$1111, 0)</f>
        <v/>
      </c>
      <c r="K382">
        <f>SUM(C382)</f>
        <v/>
      </c>
      <c r="L382">
        <f>SUM(K382,D382)</f>
        <v/>
      </c>
      <c r="M382">
        <f>SUM(L382,E382,F382)</f>
        <v/>
      </c>
      <c r="N382">
        <f>IF(L382=0, -1, K382/L382)</f>
        <v/>
      </c>
      <c r="O382">
        <f>IF(M382=0, -1, K382/M382)</f>
        <v/>
      </c>
      <c r="P382">
        <f>IF(M382=0, -1, L382/M382)</f>
        <v/>
      </c>
    </row>
    <row r="383">
      <c r="A383" t="inlineStr">
        <is>
          <t>RC00256</t>
        </is>
      </c>
      <c r="B383" t="inlineStr">
        <is>
          <t>辽宁工业大学</t>
        </is>
      </c>
      <c r="C383" t="n">
        <v>0</v>
      </c>
      <c r="D383" t="n">
        <v>0</v>
      </c>
      <c r="E383" t="n">
        <v>13</v>
      </c>
      <c r="F383" t="n">
        <v>23</v>
      </c>
      <c r="G383" t="n">
        <v>64658.02301542664</v>
      </c>
      <c r="H383" t="n">
        <v>174.3663078827797</v>
      </c>
      <c r="I383">
        <f>IF(H383=0, 0, G383/H383)</f>
        <v/>
      </c>
      <c r="J383">
        <f>RANK(I383, I$2:I$1111, 0)</f>
        <v/>
      </c>
      <c r="K383">
        <f>SUM(C383)</f>
        <v/>
      </c>
      <c r="L383">
        <f>SUM(K383,D383)</f>
        <v/>
      </c>
      <c r="M383">
        <f>SUM(L383,E383,F383)</f>
        <v/>
      </c>
      <c r="N383">
        <f>IF(L383=0, -1, K383/L383)</f>
        <v/>
      </c>
      <c r="O383">
        <f>IF(M383=0, -1, K383/M383)</f>
        <v/>
      </c>
      <c r="P383">
        <f>IF(M383=0, -1, L383/M383)</f>
        <v/>
      </c>
    </row>
    <row r="384">
      <c r="A384" t="inlineStr">
        <is>
          <t>RC00416</t>
        </is>
      </c>
      <c r="B384" t="inlineStr">
        <is>
          <t>巢湖学院</t>
        </is>
      </c>
      <c r="C384" t="n">
        <v>0</v>
      </c>
      <c r="D384" t="n">
        <v>0</v>
      </c>
      <c r="E384" t="n">
        <v>2</v>
      </c>
      <c r="F384" t="n">
        <v>18</v>
      </c>
      <c r="G384" t="n">
        <v>35358.85778066843</v>
      </c>
      <c r="H384" t="n">
        <v>108.8813953330562</v>
      </c>
      <c r="I384">
        <f>IF(H384=0, 0, G384/H384)</f>
        <v/>
      </c>
      <c r="J384">
        <f>RANK(I384, I$2:I$1111, 0)</f>
        <v/>
      </c>
      <c r="K384">
        <f>SUM(C384)</f>
        <v/>
      </c>
      <c r="L384">
        <f>SUM(K384,D384)</f>
        <v/>
      </c>
      <c r="M384">
        <f>SUM(L384,E384,F384)</f>
        <v/>
      </c>
      <c r="N384">
        <f>IF(L384=0, -1, K384/L384)</f>
        <v/>
      </c>
      <c r="O384">
        <f>IF(M384=0, -1, K384/M384)</f>
        <v/>
      </c>
      <c r="P384">
        <f>IF(M384=0, -1, L384/M384)</f>
        <v/>
      </c>
    </row>
    <row r="385">
      <c r="A385" t="inlineStr">
        <is>
          <t>RC00498</t>
        </is>
      </c>
      <c r="B385" t="inlineStr">
        <is>
          <t>山东政法学院</t>
        </is>
      </c>
      <c r="C385" t="n">
        <v>1</v>
      </c>
      <c r="D385" t="n">
        <v>0</v>
      </c>
      <c r="E385" t="n">
        <v>5</v>
      </c>
      <c r="F385" t="n">
        <v>14</v>
      </c>
      <c r="G385" t="n">
        <v>30748.01307203711</v>
      </c>
      <c r="H385" t="n">
        <v>87.37492544104786</v>
      </c>
      <c r="I385">
        <f>IF(H385=0, 0, G385/H385)</f>
        <v/>
      </c>
      <c r="J385">
        <f>RANK(I385, I$2:I$1111, 0)</f>
        <v/>
      </c>
      <c r="K385">
        <f>SUM(C385)</f>
        <v/>
      </c>
      <c r="L385">
        <f>SUM(K385,D385)</f>
        <v/>
      </c>
      <c r="M385">
        <f>SUM(L385,E385,F385)</f>
        <v/>
      </c>
      <c r="N385">
        <f>IF(L385=0, -1, K385/L385)</f>
        <v/>
      </c>
      <c r="O385">
        <f>IF(M385=0, -1, K385/M385)</f>
        <v/>
      </c>
      <c r="P385">
        <f>IF(M385=0, -1, L385/M385)</f>
        <v/>
      </c>
    </row>
    <row r="386">
      <c r="A386" t="inlineStr">
        <is>
          <t>RC00573</t>
        </is>
      </c>
      <c r="B386" t="inlineStr">
        <is>
          <t>湘南学院</t>
        </is>
      </c>
      <c r="C386" t="n">
        <v>0</v>
      </c>
      <c r="D386" t="n">
        <v>0</v>
      </c>
      <c r="E386" t="n">
        <v>1</v>
      </c>
      <c r="F386" t="n">
        <v>21</v>
      </c>
      <c r="G386" t="n">
        <v>36170.49171613823</v>
      </c>
      <c r="H386" t="n">
        <v>118.4091498252904</v>
      </c>
      <c r="I386">
        <f>IF(H386=0, 0, G386/H386)</f>
        <v/>
      </c>
      <c r="J386">
        <f>RANK(I386, I$2:I$1111, 0)</f>
        <v/>
      </c>
      <c r="K386">
        <f>SUM(C386)</f>
        <v/>
      </c>
      <c r="L386">
        <f>SUM(K386,D386)</f>
        <v/>
      </c>
      <c r="M386">
        <f>SUM(L386,E386,F386)</f>
        <v/>
      </c>
      <c r="N386">
        <f>IF(L386=0, -1, K386/L386)</f>
        <v/>
      </c>
      <c r="O386">
        <f>IF(M386=0, -1, K386/M386)</f>
        <v/>
      </c>
      <c r="P386">
        <f>IF(M386=0, -1, L386/M386)</f>
        <v/>
      </c>
    </row>
    <row r="387">
      <c r="A387" t="inlineStr">
        <is>
          <t>RC00439</t>
        </is>
      </c>
      <c r="B387" t="inlineStr">
        <is>
          <t>莆田学院</t>
        </is>
      </c>
      <c r="C387" t="n">
        <v>0</v>
      </c>
      <c r="D387" t="n">
        <v>0</v>
      </c>
      <c r="E387" t="n">
        <v>8</v>
      </c>
      <c r="F387" t="n">
        <v>28</v>
      </c>
      <c r="G387" t="n">
        <v>66139.11309898857</v>
      </c>
      <c r="H387" t="n">
        <v>190.3435011445795</v>
      </c>
      <c r="I387">
        <f>IF(H387=0, 0, G387/H387)</f>
        <v/>
      </c>
      <c r="J387">
        <f>RANK(I387, I$2:I$1111, 0)</f>
        <v/>
      </c>
      <c r="K387">
        <f>SUM(C387)</f>
        <v/>
      </c>
      <c r="L387">
        <f>SUM(K387,D387)</f>
        <v/>
      </c>
      <c r="M387">
        <f>SUM(L387,E387,F387)</f>
        <v/>
      </c>
      <c r="N387">
        <f>IF(L387=0, -1, K387/L387)</f>
        <v/>
      </c>
      <c r="O387">
        <f>IF(M387=0, -1, K387/M387)</f>
        <v/>
      </c>
      <c r="P387">
        <f>IF(M387=0, -1, L387/M387)</f>
        <v/>
      </c>
    </row>
    <row r="388">
      <c r="A388" t="inlineStr">
        <is>
          <t>RC00577</t>
        </is>
      </c>
      <c r="B388" t="inlineStr">
        <is>
          <t>湖南文理学院</t>
        </is>
      </c>
      <c r="C388" t="n">
        <v>0</v>
      </c>
      <c r="D388" t="n">
        <v>0</v>
      </c>
      <c r="E388" t="n">
        <v>2</v>
      </c>
      <c r="F388" t="n">
        <v>19</v>
      </c>
      <c r="G388" t="n">
        <v>35273.62512581082</v>
      </c>
      <c r="H388" t="n">
        <v>108.704248856402</v>
      </c>
      <c r="I388">
        <f>IF(H388=0, 0, G388/H388)</f>
        <v/>
      </c>
      <c r="J388">
        <f>RANK(I388, I$2:I$1111, 0)</f>
        <v/>
      </c>
      <c r="K388">
        <f>SUM(C388)</f>
        <v/>
      </c>
      <c r="L388">
        <f>SUM(K388,D388)</f>
        <v/>
      </c>
      <c r="M388">
        <f>SUM(L388,E388,F388)</f>
        <v/>
      </c>
      <c r="N388">
        <f>IF(L388=0, -1, K388/L388)</f>
        <v/>
      </c>
      <c r="O388">
        <f>IF(M388=0, -1, K388/M388)</f>
        <v/>
      </c>
      <c r="P388">
        <f>IF(M388=0, -1, L388/M388)</f>
        <v/>
      </c>
    </row>
    <row r="389">
      <c r="A389" t="inlineStr">
        <is>
          <t>RC00433</t>
        </is>
      </c>
      <c r="B389" t="inlineStr">
        <is>
          <t>泉州师范学院</t>
        </is>
      </c>
      <c r="C389" t="n">
        <v>0</v>
      </c>
      <c r="D389" t="n">
        <v>1</v>
      </c>
      <c r="E389" t="n">
        <v>6</v>
      </c>
      <c r="F389" t="n">
        <v>28</v>
      </c>
      <c r="G389" t="n">
        <v>60631.43725499949</v>
      </c>
      <c r="H389" t="n">
        <v>176.0704574553598</v>
      </c>
      <c r="I389">
        <f>IF(H389=0, 0, G389/H389)</f>
        <v/>
      </c>
      <c r="J389">
        <f>RANK(I389, I$2:I$1111, 0)</f>
        <v/>
      </c>
      <c r="K389">
        <f>SUM(C389)</f>
        <v/>
      </c>
      <c r="L389">
        <f>SUM(K389,D389)</f>
        <v/>
      </c>
      <c r="M389">
        <f>SUM(L389,E389,F389)</f>
        <v/>
      </c>
      <c r="N389">
        <f>IF(L389=0, -1, K389/L389)</f>
        <v/>
      </c>
      <c r="O389">
        <f>IF(M389=0, -1, K389/M389)</f>
        <v/>
      </c>
      <c r="P389">
        <f>IF(M389=0, -1, L389/M389)</f>
        <v/>
      </c>
    </row>
    <row r="390">
      <c r="A390" t="inlineStr">
        <is>
          <t>RC00412</t>
        </is>
      </c>
      <c r="B390" t="inlineStr">
        <is>
          <t>皖西学院</t>
        </is>
      </c>
      <c r="C390" t="n">
        <v>0</v>
      </c>
      <c r="D390" t="n">
        <v>0</v>
      </c>
      <c r="E390" t="n">
        <v>4</v>
      </c>
      <c r="F390" t="n">
        <v>28</v>
      </c>
      <c r="G390" t="n">
        <v>53611.69583439075</v>
      </c>
      <c r="H390" t="n">
        <v>167.3177639949483</v>
      </c>
      <c r="I390">
        <f>IF(H390=0, 0, G390/H390)</f>
        <v/>
      </c>
      <c r="J390">
        <f>RANK(I390, I$2:I$1111, 0)</f>
        <v/>
      </c>
      <c r="K390">
        <f>SUM(C390)</f>
        <v/>
      </c>
      <c r="L390">
        <f>SUM(K390,D390)</f>
        <v/>
      </c>
      <c r="M390">
        <f>SUM(L390,E390,F390)</f>
        <v/>
      </c>
      <c r="N390">
        <f>IF(L390=0, -1, K390/L390)</f>
        <v/>
      </c>
      <c r="O390">
        <f>IF(M390=0, -1, K390/M390)</f>
        <v/>
      </c>
      <c r="P390">
        <f>IF(M390=0, -1, L390/M390)</f>
        <v/>
      </c>
    </row>
    <row r="391">
      <c r="A391" t="inlineStr">
        <is>
          <t>RC00807</t>
        </is>
      </c>
      <c r="B391" t="inlineStr">
        <is>
          <t>山西能源学院</t>
        </is>
      </c>
      <c r="C391" t="n">
        <v>0</v>
      </c>
      <c r="D391" t="n">
        <v>0</v>
      </c>
      <c r="E391" t="n">
        <v>0</v>
      </c>
      <c r="F391" t="n">
        <v>3</v>
      </c>
      <c r="G391" t="n">
        <v>3918.271493875248</v>
      </c>
      <c r="H391" t="n">
        <v>11.30486755107406</v>
      </c>
      <c r="I391">
        <f>IF(H391=0, 0, G391/H391)</f>
        <v/>
      </c>
      <c r="J391">
        <f>RANK(I391, I$2:I$1111, 0)</f>
        <v/>
      </c>
      <c r="K391">
        <f>SUM(C391)</f>
        <v/>
      </c>
      <c r="L391">
        <f>SUM(K391,D391)</f>
        <v/>
      </c>
      <c r="M391">
        <f>SUM(L391,E391,F391)</f>
        <v/>
      </c>
      <c r="N391">
        <f>IF(L391=0, -1, K391/L391)</f>
        <v/>
      </c>
      <c r="O391">
        <f>IF(M391=0, -1, K391/M391)</f>
        <v/>
      </c>
      <c r="P391">
        <f>IF(M391=0, -1, L391/M391)</f>
        <v/>
      </c>
    </row>
    <row r="392">
      <c r="A392" t="inlineStr">
        <is>
          <t>RC00575</t>
        </is>
      </c>
      <c r="B392" t="inlineStr">
        <is>
          <t>邵阳学院</t>
        </is>
      </c>
      <c r="C392" t="n">
        <v>0</v>
      </c>
      <c r="D392" t="n">
        <v>0</v>
      </c>
      <c r="E392" t="n">
        <v>1</v>
      </c>
      <c r="F392" t="n">
        <v>21</v>
      </c>
      <c r="G392" t="n">
        <v>34291.88598494278</v>
      </c>
      <c r="H392" t="n">
        <v>116.1955331322395</v>
      </c>
      <c r="I392">
        <f>IF(H392=0, 0, G392/H392)</f>
        <v/>
      </c>
      <c r="J392">
        <f>RANK(I392, I$2:I$1111, 0)</f>
        <v/>
      </c>
      <c r="K392">
        <f>SUM(C392)</f>
        <v/>
      </c>
      <c r="L392">
        <f>SUM(K392,D392)</f>
        <v/>
      </c>
      <c r="M392">
        <f>SUM(L392,E392,F392)</f>
        <v/>
      </c>
      <c r="N392">
        <f>IF(L392=0, -1, K392/L392)</f>
        <v/>
      </c>
      <c r="O392">
        <f>IF(M392=0, -1, K392/M392)</f>
        <v/>
      </c>
      <c r="P392">
        <f>IF(M392=0, -1, L392/M392)</f>
        <v/>
      </c>
    </row>
    <row r="393">
      <c r="A393" t="inlineStr">
        <is>
          <t>RC00637</t>
        </is>
      </c>
      <c r="B393" t="inlineStr">
        <is>
          <t>北部湾大学</t>
        </is>
      </c>
      <c r="C393" t="n">
        <v>0</v>
      </c>
      <c r="D393" t="n">
        <v>0</v>
      </c>
      <c r="E393" t="n">
        <v>3</v>
      </c>
      <c r="F393" t="n">
        <v>17</v>
      </c>
      <c r="G393" t="n">
        <v>35262.76491044441</v>
      </c>
      <c r="H393" t="n">
        <v>102.8703120614669</v>
      </c>
      <c r="I393">
        <f>IF(H393=0, 0, G393/H393)</f>
        <v/>
      </c>
      <c r="J393">
        <f>RANK(I393, I$2:I$1111, 0)</f>
        <v/>
      </c>
      <c r="K393">
        <f>SUM(C393)</f>
        <v/>
      </c>
      <c r="L393">
        <f>SUM(K393,D393)</f>
        <v/>
      </c>
      <c r="M393">
        <f>SUM(L393,E393,F393)</f>
        <v/>
      </c>
      <c r="N393">
        <f>IF(L393=0, -1, K393/L393)</f>
        <v/>
      </c>
      <c r="O393">
        <f>IF(M393=0, -1, K393/M393)</f>
        <v/>
      </c>
      <c r="P393">
        <f>IF(M393=0, -1, L393/M393)</f>
        <v/>
      </c>
    </row>
    <row r="394">
      <c r="A394" t="inlineStr">
        <is>
          <t>RC00585</t>
        </is>
      </c>
      <c r="B394" t="inlineStr">
        <is>
          <t>湖南工学院</t>
        </is>
      </c>
      <c r="C394" t="n">
        <v>0</v>
      </c>
      <c r="D394" t="n">
        <v>0</v>
      </c>
      <c r="E394" t="n">
        <v>2</v>
      </c>
      <c r="F394" t="n">
        <v>12</v>
      </c>
      <c r="G394" t="n">
        <v>22112.29385847908</v>
      </c>
      <c r="H394" t="n">
        <v>71.2125737392947</v>
      </c>
      <c r="I394">
        <f>IF(H394=0, 0, G394/H394)</f>
        <v/>
      </c>
      <c r="J394">
        <f>RANK(I394, I$2:I$1111, 0)</f>
        <v/>
      </c>
      <c r="K394">
        <f>SUM(C394)</f>
        <v/>
      </c>
      <c r="L394">
        <f>SUM(K394,D394)</f>
        <v/>
      </c>
      <c r="M394">
        <f>SUM(L394,E394,F394)</f>
        <v/>
      </c>
      <c r="N394">
        <f>IF(L394=0, -1, K394/L394)</f>
        <v/>
      </c>
      <c r="O394">
        <f>IF(M394=0, -1, K394/M394)</f>
        <v/>
      </c>
      <c r="P394">
        <f>IF(M394=0, -1, L394/M394)</f>
        <v/>
      </c>
    </row>
    <row r="395">
      <c r="A395" t="inlineStr">
        <is>
          <t>RC00497</t>
        </is>
      </c>
      <c r="B395" t="inlineStr">
        <is>
          <t>山东女子学院</t>
        </is>
      </c>
      <c r="C395" t="n">
        <v>0</v>
      </c>
      <c r="D395" t="n">
        <v>0</v>
      </c>
      <c r="E395" t="n">
        <v>3</v>
      </c>
      <c r="F395" t="n">
        <v>12</v>
      </c>
      <c r="G395" t="n">
        <v>22348.81368963618</v>
      </c>
      <c r="H395" t="n">
        <v>70.85341761116432</v>
      </c>
      <c r="I395">
        <f>IF(H395=0, 0, G395/H395)</f>
        <v/>
      </c>
      <c r="J395">
        <f>RANK(I395, I$2:I$1111, 0)</f>
        <v/>
      </c>
      <c r="K395">
        <f>SUM(C395)</f>
        <v/>
      </c>
      <c r="L395">
        <f>SUM(K395,D395)</f>
        <v/>
      </c>
      <c r="M395">
        <f>SUM(L395,E395,F395)</f>
        <v/>
      </c>
      <c r="N395">
        <f>IF(L395=0, -1, K395/L395)</f>
        <v/>
      </c>
      <c r="O395">
        <f>IF(M395=0, -1, K395/M395)</f>
        <v/>
      </c>
      <c r="P395">
        <f>IF(M395=0, -1, L395/M395)</f>
        <v/>
      </c>
    </row>
    <row r="396">
      <c r="A396" t="inlineStr">
        <is>
          <t>RC00666</t>
        </is>
      </c>
      <c r="B396" t="inlineStr">
        <is>
          <t>西昌学院</t>
        </is>
      </c>
      <c r="C396" t="n">
        <v>0</v>
      </c>
      <c r="D396" t="n">
        <v>0</v>
      </c>
      <c r="E396" t="n">
        <v>2</v>
      </c>
      <c r="F396" t="n">
        <v>7</v>
      </c>
      <c r="G396" t="n">
        <v>15324.61045959864</v>
      </c>
      <c r="H396" t="n">
        <v>45.70423841123959</v>
      </c>
      <c r="I396">
        <f>IF(H396=0, 0, G396/H396)</f>
        <v/>
      </c>
      <c r="J396">
        <f>RANK(I396, I$2:I$1111, 0)</f>
        <v/>
      </c>
      <c r="K396">
        <f>SUM(C396)</f>
        <v/>
      </c>
      <c r="L396">
        <f>SUM(K396,D396)</f>
        <v/>
      </c>
      <c r="M396">
        <f>SUM(L396,E396,F396)</f>
        <v/>
      </c>
      <c r="N396">
        <f>IF(L396=0, -1, K396/L396)</f>
        <v/>
      </c>
      <c r="O396">
        <f>IF(M396=0, -1, K396/M396)</f>
        <v/>
      </c>
      <c r="P396">
        <f>IF(M396=0, -1, L396/M396)</f>
        <v/>
      </c>
    </row>
    <row r="397">
      <c r="A397" t="inlineStr">
        <is>
          <t>RC00747</t>
        </is>
      </c>
      <c r="B397" t="inlineStr">
        <is>
          <t>榆林学院</t>
        </is>
      </c>
      <c r="C397" t="n">
        <v>0</v>
      </c>
      <c r="D397" t="n">
        <v>0</v>
      </c>
      <c r="E397" t="n">
        <v>0</v>
      </c>
      <c r="F397" t="n">
        <v>15</v>
      </c>
      <c r="G397" t="n">
        <v>24268.88301009416</v>
      </c>
      <c r="H397" t="n">
        <v>80.53298474484815</v>
      </c>
      <c r="I397">
        <f>IF(H397=0, 0, G397/H397)</f>
        <v/>
      </c>
      <c r="J397">
        <f>RANK(I397, I$2:I$1111, 0)</f>
        <v/>
      </c>
      <c r="K397">
        <f>SUM(C397)</f>
        <v/>
      </c>
      <c r="L397">
        <f>SUM(K397,D397)</f>
        <v/>
      </c>
      <c r="M397">
        <f>SUM(L397,E397,F397)</f>
        <v/>
      </c>
      <c r="N397">
        <f>IF(L397=0, -1, K397/L397)</f>
        <v/>
      </c>
      <c r="O397">
        <f>IF(M397=0, -1, K397/M397)</f>
        <v/>
      </c>
      <c r="P397">
        <f>IF(M397=0, -1, L397/M397)</f>
        <v/>
      </c>
    </row>
    <row r="398">
      <c r="A398" t="inlineStr">
        <is>
          <t>RC00167</t>
        </is>
      </c>
      <c r="B398" t="inlineStr">
        <is>
          <t>天津理工大学</t>
        </is>
      </c>
      <c r="C398" t="n">
        <v>1</v>
      </c>
      <c r="D398" t="n">
        <v>4</v>
      </c>
      <c r="E398" t="n">
        <v>31</v>
      </c>
      <c r="F398" t="n">
        <v>20</v>
      </c>
      <c r="G398" t="n">
        <v>134173.5911662572</v>
      </c>
      <c r="H398" t="n">
        <v>278.1950585248802</v>
      </c>
      <c r="I398">
        <f>IF(H398=0, 0, G398/H398)</f>
        <v/>
      </c>
      <c r="J398">
        <f>RANK(I398, I$2:I$1111, 0)</f>
        <v/>
      </c>
      <c r="K398">
        <f>SUM(C398)</f>
        <v/>
      </c>
      <c r="L398">
        <f>SUM(K398,D398)</f>
        <v/>
      </c>
      <c r="M398">
        <f>SUM(L398,E398,F398)</f>
        <v/>
      </c>
      <c r="N398">
        <f>IF(L398=0, -1, K398/L398)</f>
        <v/>
      </c>
      <c r="O398">
        <f>IF(M398=0, -1, K398/M398)</f>
        <v/>
      </c>
      <c r="P398">
        <f>IF(M398=0, -1, L398/M398)</f>
        <v/>
      </c>
    </row>
    <row r="399">
      <c r="A399" t="inlineStr">
        <is>
          <t>RC00447</t>
        </is>
      </c>
      <c r="B399" t="inlineStr">
        <is>
          <t>江西中医药大学</t>
        </is>
      </c>
      <c r="C399" t="n">
        <v>0</v>
      </c>
      <c r="D399" t="n">
        <v>1</v>
      </c>
      <c r="E399" t="n">
        <v>7</v>
      </c>
      <c r="F399" t="n">
        <v>15</v>
      </c>
      <c r="G399" t="n">
        <v>44666.77931309864</v>
      </c>
      <c r="H399" t="n">
        <v>98.26884247800238</v>
      </c>
      <c r="I399">
        <f>IF(H399=0, 0, G399/H399)</f>
        <v/>
      </c>
      <c r="J399">
        <f>RANK(I399, I$2:I$1111, 0)</f>
        <v/>
      </c>
      <c r="K399">
        <f>SUM(C399)</f>
        <v/>
      </c>
      <c r="L399">
        <f>SUM(K399,D399)</f>
        <v/>
      </c>
      <c r="M399">
        <f>SUM(L399,E399,F399)</f>
        <v/>
      </c>
      <c r="N399">
        <f>IF(L399=0, -1, K399/L399)</f>
        <v/>
      </c>
      <c r="O399">
        <f>IF(M399=0, -1, K399/M399)</f>
        <v/>
      </c>
      <c r="P399">
        <f>IF(M399=0, -1, L399/M399)</f>
        <v/>
      </c>
    </row>
    <row r="400">
      <c r="A400" t="inlineStr">
        <is>
          <t>RC00246</t>
        </is>
      </c>
      <c r="B400" t="inlineStr">
        <is>
          <t>沈阳航空航天大学</t>
        </is>
      </c>
      <c r="C400" t="n">
        <v>0</v>
      </c>
      <c r="D400" t="n">
        <v>2</v>
      </c>
      <c r="E400" t="n">
        <v>25</v>
      </c>
      <c r="F400" t="n">
        <v>16</v>
      </c>
      <c r="G400" t="n">
        <v>93007.73532106333</v>
      </c>
      <c r="H400" t="n">
        <v>201.242455084288</v>
      </c>
      <c r="I400">
        <f>IF(H400=0, 0, G400/H400)</f>
        <v/>
      </c>
      <c r="J400">
        <f>RANK(I400, I$2:I$1111, 0)</f>
        <v/>
      </c>
      <c r="K400">
        <f>SUM(C400)</f>
        <v/>
      </c>
      <c r="L400">
        <f>SUM(K400,D400)</f>
        <v/>
      </c>
      <c r="M400">
        <f>SUM(L400,E400,F400)</f>
        <v/>
      </c>
      <c r="N400">
        <f>IF(L400=0, -1, K400/L400)</f>
        <v/>
      </c>
      <c r="O400">
        <f>IF(M400=0, -1, K400/M400)</f>
        <v/>
      </c>
      <c r="P400">
        <f>IF(M400=0, -1, L400/M400)</f>
        <v/>
      </c>
    </row>
    <row r="401">
      <c r="A401" t="inlineStr">
        <is>
          <t>RC00542</t>
        </is>
      </c>
      <c r="B401" t="inlineStr">
        <is>
          <t>湖北中医药大学</t>
        </is>
      </c>
      <c r="C401" t="n">
        <v>0</v>
      </c>
      <c r="D401" t="n">
        <v>0</v>
      </c>
      <c r="E401" t="n">
        <v>17</v>
      </c>
      <c r="F401" t="n">
        <v>15</v>
      </c>
      <c r="G401" t="n">
        <v>63675.07485680896</v>
      </c>
      <c r="H401" t="n">
        <v>138.4601750030159</v>
      </c>
      <c r="I401">
        <f>IF(H401=0, 0, G401/H401)</f>
        <v/>
      </c>
      <c r="J401">
        <f>RANK(I401, I$2:I$1111, 0)</f>
        <v/>
      </c>
      <c r="K401">
        <f>SUM(C401)</f>
        <v/>
      </c>
      <c r="L401">
        <f>SUM(K401,D401)</f>
        <v/>
      </c>
      <c r="M401">
        <f>SUM(L401,E401,F401)</f>
        <v/>
      </c>
      <c r="N401">
        <f>IF(L401=0, -1, K401/L401)</f>
        <v/>
      </c>
      <c r="O401">
        <f>IF(M401=0, -1, K401/M401)</f>
        <v/>
      </c>
      <c r="P401">
        <f>IF(M401=0, -1, L401/M401)</f>
        <v/>
      </c>
    </row>
    <row r="402">
      <c r="A402" t="inlineStr">
        <is>
          <t>RC00298</t>
        </is>
      </c>
      <c r="B402" t="inlineStr">
        <is>
          <t>吉林工商学院</t>
        </is>
      </c>
      <c r="C402" t="n">
        <v>0</v>
      </c>
      <c r="D402" t="n">
        <v>0</v>
      </c>
      <c r="E402" t="n">
        <v>2</v>
      </c>
      <c r="F402" t="n">
        <v>14</v>
      </c>
      <c r="G402" t="n">
        <v>24204.95163354461</v>
      </c>
      <c r="H402" t="n">
        <v>80.14145931869302</v>
      </c>
      <c r="I402">
        <f>IF(H402=0, 0, G402/H402)</f>
        <v/>
      </c>
      <c r="J402">
        <f>RANK(I402, I$2:I$1111, 0)</f>
        <v/>
      </c>
      <c r="K402">
        <f>SUM(C402)</f>
        <v/>
      </c>
      <c r="L402">
        <f>SUM(K402,D402)</f>
        <v/>
      </c>
      <c r="M402">
        <f>SUM(L402,E402,F402)</f>
        <v/>
      </c>
      <c r="N402">
        <f>IF(L402=0, -1, K402/L402)</f>
        <v/>
      </c>
      <c r="O402">
        <f>IF(M402=0, -1, K402/M402)</f>
        <v/>
      </c>
      <c r="P402">
        <f>IF(M402=0, -1, L402/M402)</f>
        <v/>
      </c>
    </row>
    <row r="403">
      <c r="A403" t="inlineStr">
        <is>
          <t>RC00431</t>
        </is>
      </c>
      <c r="B403" t="inlineStr">
        <is>
          <t>武夷学院</t>
        </is>
      </c>
      <c r="C403" t="n">
        <v>0</v>
      </c>
      <c r="D403" t="n">
        <v>0</v>
      </c>
      <c r="E403" t="n">
        <v>2</v>
      </c>
      <c r="F403" t="n">
        <v>20</v>
      </c>
      <c r="G403" t="n">
        <v>37087.974292557</v>
      </c>
      <c r="H403" t="n">
        <v>109.4320248908551</v>
      </c>
      <c r="I403">
        <f>IF(H403=0, 0, G403/H403)</f>
        <v/>
      </c>
      <c r="J403">
        <f>RANK(I403, I$2:I$1111, 0)</f>
        <v/>
      </c>
      <c r="K403">
        <f>SUM(C403)</f>
        <v/>
      </c>
      <c r="L403">
        <f>SUM(K403,D403)</f>
        <v/>
      </c>
      <c r="M403">
        <f>SUM(L403,E403,F403)</f>
        <v/>
      </c>
      <c r="N403">
        <f>IF(L403=0, -1, K403/L403)</f>
        <v/>
      </c>
      <c r="O403">
        <f>IF(M403=0, -1, K403/M403)</f>
        <v/>
      </c>
      <c r="P403">
        <f>IF(M403=0, -1, L403/M403)</f>
        <v/>
      </c>
    </row>
    <row r="404">
      <c r="A404" t="inlineStr">
        <is>
          <t>RC00193</t>
        </is>
      </c>
      <c r="B404" t="inlineStr">
        <is>
          <t>廊坊师范学院</t>
        </is>
      </c>
      <c r="C404" t="n">
        <v>0</v>
      </c>
      <c r="D404" t="n">
        <v>0</v>
      </c>
      <c r="E404" t="n">
        <v>1</v>
      </c>
      <c r="F404" t="n">
        <v>10</v>
      </c>
      <c r="G404" t="n">
        <v>18483.53454337139</v>
      </c>
      <c r="H404" t="n">
        <v>55.74125066640546</v>
      </c>
      <c r="I404">
        <f>IF(H404=0, 0, G404/H404)</f>
        <v/>
      </c>
      <c r="J404">
        <f>RANK(I404, I$2:I$1111, 0)</f>
        <v/>
      </c>
      <c r="K404">
        <f>SUM(C404)</f>
        <v/>
      </c>
      <c r="L404">
        <f>SUM(K404,D404)</f>
        <v/>
      </c>
      <c r="M404">
        <f>SUM(L404,E404,F404)</f>
        <v/>
      </c>
      <c r="N404">
        <f>IF(L404=0, -1, K404/L404)</f>
        <v/>
      </c>
      <c r="O404">
        <f>IF(M404=0, -1, K404/M404)</f>
        <v/>
      </c>
      <c r="P404">
        <f>IF(M404=0, -1, L404/M404)</f>
        <v/>
      </c>
    </row>
    <row r="405">
      <c r="A405" t="inlineStr">
        <is>
          <t>RC00277</t>
        </is>
      </c>
      <c r="B405" t="inlineStr">
        <is>
          <t>沈阳工程学院</t>
        </is>
      </c>
      <c r="C405" t="n">
        <v>0</v>
      </c>
      <c r="D405" t="n">
        <v>0</v>
      </c>
      <c r="E405" t="n">
        <v>5</v>
      </c>
      <c r="F405" t="n">
        <v>14</v>
      </c>
      <c r="G405" t="n">
        <v>34595.16613808421</v>
      </c>
      <c r="H405" t="n">
        <v>97.1229351487524</v>
      </c>
      <c r="I405">
        <f>IF(H405=0, 0, G405/H405)</f>
        <v/>
      </c>
      <c r="J405">
        <f>RANK(I405, I$2:I$1111, 0)</f>
        <v/>
      </c>
      <c r="K405">
        <f>SUM(C405)</f>
        <v/>
      </c>
      <c r="L405">
        <f>SUM(K405,D405)</f>
        <v/>
      </c>
      <c r="M405">
        <f>SUM(L405,E405,F405)</f>
        <v/>
      </c>
      <c r="N405">
        <f>IF(L405=0, -1, K405/L405)</f>
        <v/>
      </c>
      <c r="O405">
        <f>IF(M405=0, -1, K405/M405)</f>
        <v/>
      </c>
      <c r="P405">
        <f>IF(M405=0, -1, L405/M405)</f>
        <v/>
      </c>
    </row>
    <row r="406">
      <c r="A406" t="inlineStr">
        <is>
          <t>RC00536</t>
        </is>
      </c>
      <c r="B406" t="inlineStr">
        <is>
          <t>武汉科技大学</t>
        </is>
      </c>
      <c r="C406" t="n">
        <v>0</v>
      </c>
      <c r="D406" t="n">
        <v>9</v>
      </c>
      <c r="E406" t="n">
        <v>42</v>
      </c>
      <c r="F406" t="n">
        <v>17</v>
      </c>
      <c r="G406" t="n">
        <v>174966.8459091935</v>
      </c>
      <c r="H406" t="n">
        <v>329.4197202547558</v>
      </c>
      <c r="I406">
        <f>IF(H406=0, 0, G406/H406)</f>
        <v/>
      </c>
      <c r="J406">
        <f>RANK(I406, I$2:I$1111, 0)</f>
        <v/>
      </c>
      <c r="K406">
        <f>SUM(C406)</f>
        <v/>
      </c>
      <c r="L406">
        <f>SUM(K406,D406)</f>
        <v/>
      </c>
      <c r="M406">
        <f>SUM(L406,E406,F406)</f>
        <v/>
      </c>
      <c r="N406">
        <f>IF(L406=0, -1, K406/L406)</f>
        <v/>
      </c>
      <c r="O406">
        <f>IF(M406=0, -1, K406/M406)</f>
        <v/>
      </c>
      <c r="P406">
        <f>IF(M406=0, -1, L406/M406)</f>
        <v/>
      </c>
    </row>
    <row r="407">
      <c r="A407" t="inlineStr">
        <is>
          <t>RC00170</t>
        </is>
      </c>
      <c r="B407" t="inlineStr">
        <is>
          <t>天津师范大学</t>
        </is>
      </c>
      <c r="C407" t="n">
        <v>1</v>
      </c>
      <c r="D407" t="n">
        <v>4</v>
      </c>
      <c r="E407" t="n">
        <v>50</v>
      </c>
      <c r="F407" t="n">
        <v>12</v>
      </c>
      <c r="G407" t="n">
        <v>165462.1479162544</v>
      </c>
      <c r="H407" t="n">
        <v>332.3101738242489</v>
      </c>
      <c r="I407">
        <f>IF(H407=0, 0, G407/H407)</f>
        <v/>
      </c>
      <c r="J407">
        <f>RANK(I407, I$2:I$1111, 0)</f>
        <v/>
      </c>
      <c r="K407">
        <f>SUM(C407)</f>
        <v/>
      </c>
      <c r="L407">
        <f>SUM(K407,D407)</f>
        <v/>
      </c>
      <c r="M407">
        <f>SUM(L407,E407,F407)</f>
        <v/>
      </c>
      <c r="N407">
        <f>IF(L407=0, -1, K407/L407)</f>
        <v/>
      </c>
      <c r="O407">
        <f>IF(M407=0, -1, K407/M407)</f>
        <v/>
      </c>
      <c r="P407">
        <f>IF(M407=0, -1, L407/M407)</f>
        <v/>
      </c>
    </row>
    <row r="408">
      <c r="A408" t="inlineStr">
        <is>
          <t>RC00178</t>
        </is>
      </c>
      <c r="B408" t="inlineStr">
        <is>
          <t>天津城建大学</t>
        </is>
      </c>
      <c r="C408" t="n">
        <v>0</v>
      </c>
      <c r="D408" t="n">
        <v>0</v>
      </c>
      <c r="E408" t="n">
        <v>16</v>
      </c>
      <c r="F408" t="n">
        <v>16</v>
      </c>
      <c r="G408" t="n">
        <v>62887.04310130564</v>
      </c>
      <c r="H408" t="n">
        <v>158.7253603727062</v>
      </c>
      <c r="I408">
        <f>IF(H408=0, 0, G408/H408)</f>
        <v/>
      </c>
      <c r="J408">
        <f>RANK(I408, I$2:I$1111, 0)</f>
        <v/>
      </c>
      <c r="K408">
        <f>SUM(C408)</f>
        <v/>
      </c>
      <c r="L408">
        <f>SUM(K408,D408)</f>
        <v/>
      </c>
      <c r="M408">
        <f>SUM(L408,E408,F408)</f>
        <v/>
      </c>
      <c r="N408">
        <f>IF(L408=0, -1, K408/L408)</f>
        <v/>
      </c>
      <c r="O408">
        <f>IF(M408=0, -1, K408/M408)</f>
        <v/>
      </c>
      <c r="P408">
        <f>IF(M408=0, -1, L408/M408)</f>
        <v/>
      </c>
    </row>
    <row r="409">
      <c r="A409" t="inlineStr">
        <is>
          <t>RC00492</t>
        </is>
      </c>
      <c r="B409" t="inlineStr">
        <is>
          <t>烟台大学</t>
        </is>
      </c>
      <c r="C409" t="n">
        <v>0</v>
      </c>
      <c r="D409" t="n">
        <v>0</v>
      </c>
      <c r="E409" t="n">
        <v>22</v>
      </c>
      <c r="F409" t="n">
        <v>27</v>
      </c>
      <c r="G409" t="n">
        <v>100250.3143981733</v>
      </c>
      <c r="H409" t="n">
        <v>248.5276038565071</v>
      </c>
      <c r="I409">
        <f>IF(H409=0, 0, G409/H409)</f>
        <v/>
      </c>
      <c r="J409">
        <f>RANK(I409, I$2:I$1111, 0)</f>
        <v/>
      </c>
      <c r="K409">
        <f>SUM(C409)</f>
        <v/>
      </c>
      <c r="L409">
        <f>SUM(K409,D409)</f>
        <v/>
      </c>
      <c r="M409">
        <f>SUM(L409,E409,F409)</f>
        <v/>
      </c>
      <c r="N409">
        <f>IF(L409=0, -1, K409/L409)</f>
        <v/>
      </c>
      <c r="O409">
        <f>IF(M409=0, -1, K409/M409)</f>
        <v/>
      </c>
      <c r="P409">
        <f>IF(M409=0, -1, L409/M409)</f>
        <v/>
      </c>
    </row>
    <row r="410">
      <c r="A410" t="inlineStr">
        <is>
          <t>RC00663</t>
        </is>
      </c>
      <c r="B410" t="inlineStr">
        <is>
          <t>四川轻化工大学</t>
        </is>
      </c>
      <c r="C410" t="n">
        <v>0</v>
      </c>
      <c r="D410" t="n">
        <v>0</v>
      </c>
      <c r="E410" t="n">
        <v>8</v>
      </c>
      <c r="F410" t="n">
        <v>42</v>
      </c>
      <c r="G410" t="n">
        <v>90107.36273526648</v>
      </c>
      <c r="H410" t="n">
        <v>253.2861961825472</v>
      </c>
      <c r="I410">
        <f>IF(H410=0, 0, G410/H410)</f>
        <v/>
      </c>
      <c r="J410">
        <f>RANK(I410, I$2:I$1111, 0)</f>
        <v/>
      </c>
      <c r="K410">
        <f>SUM(C410)</f>
        <v/>
      </c>
      <c r="L410">
        <f>SUM(K410,D410)</f>
        <v/>
      </c>
      <c r="M410">
        <f>SUM(L410,E410,F410)</f>
        <v/>
      </c>
      <c r="N410">
        <f>IF(L410=0, -1, K410/L410)</f>
        <v/>
      </c>
      <c r="O410">
        <f>IF(M410=0, -1, K410/M410)</f>
        <v/>
      </c>
      <c r="P410">
        <f>IF(M410=0, -1, L410/M410)</f>
        <v/>
      </c>
    </row>
    <row r="411">
      <c r="A411" t="inlineStr">
        <is>
          <t>RC00132</t>
        </is>
      </c>
      <c r="B411" t="inlineStr">
        <is>
          <t>北京农学院</t>
        </is>
      </c>
      <c r="C411" t="n">
        <v>1</v>
      </c>
      <c r="D411" t="n">
        <v>0</v>
      </c>
      <c r="E411" t="n">
        <v>8</v>
      </c>
      <c r="F411" t="n">
        <v>17</v>
      </c>
      <c r="G411" t="n">
        <v>48679.54368698862</v>
      </c>
      <c r="H411" t="n">
        <v>116.3502948869463</v>
      </c>
      <c r="I411">
        <f>IF(H411=0, 0, G411/H411)</f>
        <v/>
      </c>
      <c r="J411">
        <f>RANK(I411, I$2:I$1111, 0)</f>
        <v/>
      </c>
      <c r="K411">
        <f>SUM(C411)</f>
        <v/>
      </c>
      <c r="L411">
        <f>SUM(K411,D411)</f>
        <v/>
      </c>
      <c r="M411">
        <f>SUM(L411,E411,F411)</f>
        <v/>
      </c>
      <c r="N411">
        <f>IF(L411=0, -1, K411/L411)</f>
        <v/>
      </c>
      <c r="O411">
        <f>IF(M411=0, -1, K411/M411)</f>
        <v/>
      </c>
      <c r="P411">
        <f>IF(M411=0, -1, L411/M411)</f>
        <v/>
      </c>
    </row>
    <row r="412">
      <c r="A412" t="inlineStr">
        <is>
          <t>RC00611</t>
        </is>
      </c>
      <c r="B412" t="inlineStr">
        <is>
          <t>仲恺农业工程学院</t>
        </is>
      </c>
      <c r="C412" t="n">
        <v>0</v>
      </c>
      <c r="D412" t="n">
        <v>0</v>
      </c>
      <c r="E412" t="n">
        <v>7</v>
      </c>
      <c r="F412" t="n">
        <v>21</v>
      </c>
      <c r="G412" t="n">
        <v>48173.97215207271</v>
      </c>
      <c r="H412" t="n">
        <v>141.8728854122675</v>
      </c>
      <c r="I412">
        <f>IF(H412=0, 0, G412/H412)</f>
        <v/>
      </c>
      <c r="J412">
        <f>RANK(I412, I$2:I$1111, 0)</f>
        <v/>
      </c>
      <c r="K412">
        <f>SUM(C412)</f>
        <v/>
      </c>
      <c r="L412">
        <f>SUM(K412,D412)</f>
        <v/>
      </c>
      <c r="M412">
        <f>SUM(L412,E412,F412)</f>
        <v/>
      </c>
      <c r="N412">
        <f>IF(L412=0, -1, K412/L412)</f>
        <v/>
      </c>
      <c r="O412">
        <f>IF(M412=0, -1, K412/M412)</f>
        <v/>
      </c>
      <c r="P412">
        <f>IF(M412=0, -1, L412/M412)</f>
        <v/>
      </c>
    </row>
    <row r="413">
      <c r="A413" t="inlineStr">
        <is>
          <t>RC00458</t>
        </is>
      </c>
      <c r="B413" t="inlineStr">
        <is>
          <t>南昌工程学院</t>
        </is>
      </c>
      <c r="C413" t="n">
        <v>0</v>
      </c>
      <c r="D413" t="n">
        <v>0</v>
      </c>
      <c r="E413" t="n">
        <v>8</v>
      </c>
      <c r="F413" t="n">
        <v>27</v>
      </c>
      <c r="G413" t="n">
        <v>63885.08573469644</v>
      </c>
      <c r="H413" t="n">
        <v>176.8145170933888</v>
      </c>
      <c r="I413">
        <f>IF(H413=0, 0, G413/H413)</f>
        <v/>
      </c>
      <c r="J413">
        <f>RANK(I413, I$2:I$1111, 0)</f>
        <v/>
      </c>
      <c r="K413">
        <f>SUM(C413)</f>
        <v/>
      </c>
      <c r="L413">
        <f>SUM(K413,D413)</f>
        <v/>
      </c>
      <c r="M413">
        <f>SUM(L413,E413,F413)</f>
        <v/>
      </c>
      <c r="N413">
        <f>IF(L413=0, -1, K413/L413)</f>
        <v/>
      </c>
      <c r="O413">
        <f>IF(M413=0, -1, K413/M413)</f>
        <v/>
      </c>
      <c r="P413">
        <f>IF(M413=0, -1, L413/M413)</f>
        <v/>
      </c>
    </row>
    <row r="414">
      <c r="A414" t="inlineStr">
        <is>
          <t>RC00599</t>
        </is>
      </c>
      <c r="B414" t="inlineStr">
        <is>
          <t>韩山师范学院</t>
        </is>
      </c>
      <c r="C414" t="n">
        <v>0</v>
      </c>
      <c r="D414" t="n">
        <v>0</v>
      </c>
      <c r="E414" t="n">
        <v>1</v>
      </c>
      <c r="F414" t="n">
        <v>16</v>
      </c>
      <c r="G414" t="n">
        <v>26012.91801649899</v>
      </c>
      <c r="H414" t="n">
        <v>85.18042505476295</v>
      </c>
      <c r="I414">
        <f>IF(H414=0, 0, G414/H414)</f>
        <v/>
      </c>
      <c r="J414">
        <f>RANK(I414, I$2:I$1111, 0)</f>
        <v/>
      </c>
      <c r="K414">
        <f>SUM(C414)</f>
        <v/>
      </c>
      <c r="L414">
        <f>SUM(K414,D414)</f>
        <v/>
      </c>
      <c r="M414">
        <f>SUM(L414,E414,F414)</f>
        <v/>
      </c>
      <c r="N414">
        <f>IF(L414=0, -1, K414/L414)</f>
        <v/>
      </c>
      <c r="O414">
        <f>IF(M414=0, -1, K414/M414)</f>
        <v/>
      </c>
      <c r="P414">
        <f>IF(M414=0, -1, L414/M414)</f>
        <v/>
      </c>
    </row>
    <row r="415">
      <c r="A415" t="inlineStr">
        <is>
          <t>RC00207</t>
        </is>
      </c>
      <c r="B415" t="inlineStr">
        <is>
          <t>防灾科技学院</t>
        </is>
      </c>
      <c r="C415" t="n">
        <v>0</v>
      </c>
      <c r="D415" t="n">
        <v>0</v>
      </c>
      <c r="E415" t="n">
        <v>1</v>
      </c>
      <c r="F415" t="n">
        <v>11</v>
      </c>
      <c r="G415" t="n">
        <v>18037.97002493772</v>
      </c>
      <c r="H415" t="n">
        <v>58.56357166062909</v>
      </c>
      <c r="I415">
        <f>IF(H415=0, 0, G415/H415)</f>
        <v/>
      </c>
      <c r="J415">
        <f>RANK(I415, I$2:I$1111, 0)</f>
        <v/>
      </c>
      <c r="K415">
        <f>SUM(C415)</f>
        <v/>
      </c>
      <c r="L415">
        <f>SUM(K415,D415)</f>
        <v/>
      </c>
      <c r="M415">
        <f>SUM(L415,E415,F415)</f>
        <v/>
      </c>
      <c r="N415">
        <f>IF(L415=0, -1, K415/L415)</f>
        <v/>
      </c>
      <c r="O415">
        <f>IF(M415=0, -1, K415/M415)</f>
        <v/>
      </c>
      <c r="P415">
        <f>IF(M415=0, -1, L415/M415)</f>
        <v/>
      </c>
    </row>
    <row r="416">
      <c r="A416" t="inlineStr">
        <is>
          <t>RC00437</t>
        </is>
      </c>
      <c r="B416" t="inlineStr">
        <is>
          <t>龙岩学院</t>
        </is>
      </c>
      <c r="C416" t="n">
        <v>0</v>
      </c>
      <c r="D416" t="n">
        <v>0</v>
      </c>
      <c r="E416" t="n">
        <v>2</v>
      </c>
      <c r="F416" t="n">
        <v>19</v>
      </c>
      <c r="G416" t="n">
        <v>34926.49633466845</v>
      </c>
      <c r="H416" t="n">
        <v>110.9979531125437</v>
      </c>
      <c r="I416">
        <f>IF(H416=0, 0, G416/H416)</f>
        <v/>
      </c>
      <c r="J416">
        <f>RANK(I416, I$2:I$1111, 0)</f>
        <v/>
      </c>
      <c r="K416">
        <f>SUM(C416)</f>
        <v/>
      </c>
      <c r="L416">
        <f>SUM(K416,D416)</f>
        <v/>
      </c>
      <c r="M416">
        <f>SUM(L416,E416,F416)</f>
        <v/>
      </c>
      <c r="N416">
        <f>IF(L416=0, -1, K416/L416)</f>
        <v/>
      </c>
      <c r="O416">
        <f>IF(M416=0, -1, K416/M416)</f>
        <v/>
      </c>
      <c r="P416">
        <f>IF(M416=0, -1, L416/M416)</f>
        <v/>
      </c>
    </row>
    <row r="417">
      <c r="A417" t="inlineStr">
        <is>
          <t>RC00601</t>
        </is>
      </c>
      <c r="B417" t="inlineStr">
        <is>
          <t>肇庆学院</t>
        </is>
      </c>
      <c r="C417" t="n">
        <v>0</v>
      </c>
      <c r="D417" t="n">
        <v>0</v>
      </c>
      <c r="E417" t="n">
        <v>5</v>
      </c>
      <c r="F417" t="n">
        <v>21</v>
      </c>
      <c r="G417" t="n">
        <v>43388.87222199036</v>
      </c>
      <c r="H417" t="n">
        <v>135.8521978389169</v>
      </c>
      <c r="I417">
        <f>IF(H417=0, 0, G417/H417)</f>
        <v/>
      </c>
      <c r="J417">
        <f>RANK(I417, I$2:I$1111, 0)</f>
        <v/>
      </c>
      <c r="K417">
        <f>SUM(C417)</f>
        <v/>
      </c>
      <c r="L417">
        <f>SUM(K417,D417)</f>
        <v/>
      </c>
      <c r="M417">
        <f>SUM(L417,E417,F417)</f>
        <v/>
      </c>
      <c r="N417">
        <f>IF(L417=0, -1, K417/L417)</f>
        <v/>
      </c>
      <c r="O417">
        <f>IF(M417=0, -1, K417/M417)</f>
        <v/>
      </c>
      <c r="P417">
        <f>IF(M417=0, -1, L417/M417)</f>
        <v/>
      </c>
    </row>
    <row r="418">
      <c r="A418" t="inlineStr">
        <is>
          <t>RC00704</t>
        </is>
      </c>
      <c r="B418" t="inlineStr">
        <is>
          <t>贵州理工学院</t>
        </is>
      </c>
      <c r="C418" t="n">
        <v>0</v>
      </c>
      <c r="D418" t="n">
        <v>0</v>
      </c>
      <c r="E418" t="n">
        <v>1</v>
      </c>
      <c r="F418" t="n">
        <v>12</v>
      </c>
      <c r="G418" t="n">
        <v>18242.40447030151</v>
      </c>
      <c r="H418" t="n">
        <v>62.06173454803027</v>
      </c>
      <c r="I418">
        <f>IF(H418=0, 0, G418/H418)</f>
        <v/>
      </c>
      <c r="J418">
        <f>RANK(I418, I$2:I$1111, 0)</f>
        <v/>
      </c>
      <c r="K418">
        <f>SUM(C418)</f>
        <v/>
      </c>
      <c r="L418">
        <f>SUM(K418,D418)</f>
        <v/>
      </c>
      <c r="M418">
        <f>SUM(L418,E418,F418)</f>
        <v/>
      </c>
      <c r="N418">
        <f>IF(L418=0, -1, K418/L418)</f>
        <v/>
      </c>
      <c r="O418">
        <f>IF(M418=0, -1, K418/M418)</f>
        <v/>
      </c>
      <c r="P418">
        <f>IF(M418=0, -1, L418/M418)</f>
        <v/>
      </c>
    </row>
    <row r="419">
      <c r="A419" t="inlineStr">
        <is>
          <t>RC00900</t>
        </is>
      </c>
      <c r="B419" t="inlineStr">
        <is>
          <t>郑州财经学院</t>
        </is>
      </c>
      <c r="C419" t="n">
        <v>0</v>
      </c>
      <c r="D419" t="n">
        <v>0</v>
      </c>
      <c r="E419" t="n">
        <v>0</v>
      </c>
      <c r="F419" t="n">
        <v>6</v>
      </c>
      <c r="G419" t="n">
        <v>7387.626480116455</v>
      </c>
      <c r="H419" t="n">
        <v>22.1980755634981</v>
      </c>
      <c r="I419">
        <f>IF(H419=0, 0, G419/H419)</f>
        <v/>
      </c>
      <c r="J419">
        <f>RANK(I419, I$2:I$1111, 0)</f>
        <v/>
      </c>
      <c r="K419">
        <f>SUM(C419)</f>
        <v/>
      </c>
      <c r="L419">
        <f>SUM(K419,D419)</f>
        <v/>
      </c>
      <c r="M419">
        <f>SUM(L419,E419,F419)</f>
        <v/>
      </c>
      <c r="N419">
        <f>IF(L419=0, -1, K419/L419)</f>
        <v/>
      </c>
      <c r="O419">
        <f>IF(M419=0, -1, K419/M419)</f>
        <v/>
      </c>
      <c r="P419">
        <f>IF(M419=0, -1, L419/M419)</f>
        <v/>
      </c>
    </row>
    <row r="420">
      <c r="A420" t="inlineStr">
        <is>
          <t>RC00190</t>
        </is>
      </c>
      <c r="B420" t="inlineStr">
        <is>
          <t>保定学院</t>
        </is>
      </c>
      <c r="C420" t="n">
        <v>0</v>
      </c>
      <c r="D420" t="n">
        <v>0</v>
      </c>
      <c r="E420" t="n">
        <v>3</v>
      </c>
      <c r="F420" t="n">
        <v>10</v>
      </c>
      <c r="G420" t="n">
        <v>20942.09139507899</v>
      </c>
      <c r="H420" t="n">
        <v>58.14356296866313</v>
      </c>
      <c r="I420">
        <f>IF(H420=0, 0, G420/H420)</f>
        <v/>
      </c>
      <c r="J420">
        <f>RANK(I420, I$2:I$1111, 0)</f>
        <v/>
      </c>
      <c r="K420">
        <f>SUM(C420)</f>
        <v/>
      </c>
      <c r="L420">
        <f>SUM(K420,D420)</f>
        <v/>
      </c>
      <c r="M420">
        <f>SUM(L420,E420,F420)</f>
        <v/>
      </c>
      <c r="N420">
        <f>IF(L420=0, -1, K420/L420)</f>
        <v/>
      </c>
      <c r="O420">
        <f>IF(M420=0, -1, K420/M420)</f>
        <v/>
      </c>
      <c r="P420">
        <f>IF(M420=0, -1, L420/M420)</f>
        <v/>
      </c>
    </row>
    <row r="421">
      <c r="A421" t="inlineStr">
        <is>
          <t>RC01083</t>
        </is>
      </c>
      <c r="B421" t="inlineStr">
        <is>
          <t>福建师范大学协和学院</t>
        </is>
      </c>
      <c r="C421" t="n">
        <v>0</v>
      </c>
      <c r="D421" t="n">
        <v>0</v>
      </c>
      <c r="E421" t="n">
        <v>0</v>
      </c>
      <c r="F421" t="n">
        <v>9</v>
      </c>
      <c r="G421" t="n">
        <v>10707.65040913372</v>
      </c>
      <c r="H421" t="n">
        <v>45.92050497661091</v>
      </c>
      <c r="I421">
        <f>IF(H421=0, 0, G421/H421)</f>
        <v/>
      </c>
      <c r="J421">
        <f>RANK(I421, I$2:I$1111, 0)</f>
        <v/>
      </c>
      <c r="K421">
        <f>SUM(C421)</f>
        <v/>
      </c>
      <c r="L421">
        <f>SUM(K421,D421)</f>
        <v/>
      </c>
      <c r="M421">
        <f>SUM(L421,E421,F421)</f>
        <v/>
      </c>
      <c r="N421">
        <f>IF(L421=0, -1, K421/L421)</f>
        <v/>
      </c>
      <c r="O421">
        <f>IF(M421=0, -1, K421/M421)</f>
        <v/>
      </c>
      <c r="P421">
        <f>IF(M421=0, -1, L421/M421)</f>
        <v/>
      </c>
    </row>
    <row r="422">
      <c r="A422" t="inlineStr">
        <is>
          <t>RC01166</t>
        </is>
      </c>
      <c r="B422" t="inlineStr">
        <is>
          <t>珠海科技学院</t>
        </is>
      </c>
      <c r="C422" t="n">
        <v>0</v>
      </c>
      <c r="D422" t="n">
        <v>0</v>
      </c>
      <c r="E422" t="n">
        <v>1</v>
      </c>
      <c r="F422" t="n">
        <v>14</v>
      </c>
      <c r="G422" t="n">
        <v>20639.02255609798</v>
      </c>
      <c r="H422" t="n">
        <v>74.80470879786967</v>
      </c>
      <c r="I422">
        <f>IF(H422=0, 0, G422/H422)</f>
        <v/>
      </c>
      <c r="J422">
        <f>RANK(I422, I$2:I$1111, 0)</f>
        <v/>
      </c>
      <c r="K422">
        <f>SUM(C422)</f>
        <v/>
      </c>
      <c r="L422">
        <f>SUM(K422,D422)</f>
        <v/>
      </c>
      <c r="M422">
        <f>SUM(L422,E422,F422)</f>
        <v/>
      </c>
      <c r="N422">
        <f>IF(L422=0, -1, K422/L422)</f>
        <v/>
      </c>
      <c r="O422">
        <f>IF(M422=0, -1, K422/M422)</f>
        <v/>
      </c>
      <c r="P422">
        <f>IF(M422=0, -1, L422/M422)</f>
        <v/>
      </c>
    </row>
    <row r="423">
      <c r="A423" t="inlineStr">
        <is>
          <t>RC00511</t>
        </is>
      </c>
      <c r="B423" t="inlineStr">
        <is>
          <t>河南牧业经济学院</t>
        </is>
      </c>
      <c r="C423" t="n">
        <v>0</v>
      </c>
      <c r="D423" t="n">
        <v>0</v>
      </c>
      <c r="E423" t="n">
        <v>0</v>
      </c>
      <c r="F423" t="n">
        <v>11</v>
      </c>
      <c r="G423" t="n">
        <v>16865.89460450483</v>
      </c>
      <c r="H423" t="n">
        <v>53.96716359227336</v>
      </c>
      <c r="I423">
        <f>IF(H423=0, 0, G423/H423)</f>
        <v/>
      </c>
      <c r="J423">
        <f>RANK(I423, I$2:I$1111, 0)</f>
        <v/>
      </c>
      <c r="K423">
        <f>SUM(C423)</f>
        <v/>
      </c>
      <c r="L423">
        <f>SUM(K423,D423)</f>
        <v/>
      </c>
      <c r="M423">
        <f>SUM(L423,E423,F423)</f>
        <v/>
      </c>
      <c r="N423">
        <f>IF(L423=0, -1, K423/L423)</f>
        <v/>
      </c>
      <c r="O423">
        <f>IF(M423=0, -1, K423/M423)</f>
        <v/>
      </c>
      <c r="P423">
        <f>IF(M423=0, -1, L423/M423)</f>
        <v/>
      </c>
    </row>
    <row r="424">
      <c r="A424" t="inlineStr">
        <is>
          <t>RC00230</t>
        </is>
      </c>
      <c r="B424" t="inlineStr">
        <is>
          <t>山西工程技术学院</t>
        </is>
      </c>
      <c r="C424" t="n">
        <v>0</v>
      </c>
      <c r="D424" t="n">
        <v>0</v>
      </c>
      <c r="E424" t="n">
        <v>0</v>
      </c>
      <c r="F424" t="n">
        <v>3</v>
      </c>
      <c r="G424" t="n">
        <v>4620.614404661112</v>
      </c>
      <c r="H424" t="n">
        <v>14.91284002416737</v>
      </c>
      <c r="I424">
        <f>IF(H424=0, 0, G424/H424)</f>
        <v/>
      </c>
      <c r="J424">
        <f>RANK(I424, I$2:I$1111, 0)</f>
        <v/>
      </c>
      <c r="K424">
        <f>SUM(C424)</f>
        <v/>
      </c>
      <c r="L424">
        <f>SUM(K424,D424)</f>
        <v/>
      </c>
      <c r="M424">
        <f>SUM(L424,E424,F424)</f>
        <v/>
      </c>
      <c r="N424">
        <f>IF(L424=0, -1, K424/L424)</f>
        <v/>
      </c>
      <c r="O424">
        <f>IF(M424=0, -1, K424/M424)</f>
        <v/>
      </c>
      <c r="P424">
        <f>IF(M424=0, -1, L424/M424)</f>
        <v/>
      </c>
    </row>
    <row r="425">
      <c r="A425" t="inlineStr">
        <is>
          <t>RC01251</t>
        </is>
      </c>
      <c r="B425" t="inlineStr">
        <is>
          <t>郑州工程技术学院</t>
        </is>
      </c>
      <c r="C425" t="n">
        <v>0</v>
      </c>
      <c r="D425" t="n">
        <v>0</v>
      </c>
      <c r="E425" t="n">
        <v>1</v>
      </c>
      <c r="F425" t="n">
        <v>15</v>
      </c>
      <c r="G425" t="n">
        <v>21673.50305859974</v>
      </c>
      <c r="H425" t="n">
        <v>69.02129122621267</v>
      </c>
      <c r="I425">
        <f>IF(H425=0, 0, G425/H425)</f>
        <v/>
      </c>
      <c r="J425">
        <f>RANK(I425, I$2:I$1111, 0)</f>
        <v/>
      </c>
      <c r="K425">
        <f>SUM(C425)</f>
        <v/>
      </c>
      <c r="L425">
        <f>SUM(K425,D425)</f>
        <v/>
      </c>
      <c r="M425">
        <f>SUM(L425,E425,F425)</f>
        <v/>
      </c>
      <c r="N425">
        <f>IF(L425=0, -1, K425/L425)</f>
        <v/>
      </c>
      <c r="O425">
        <f>IF(M425=0, -1, K425/M425)</f>
        <v/>
      </c>
      <c r="P425">
        <f>IF(M425=0, -1, L425/M425)</f>
        <v/>
      </c>
    </row>
    <row r="426">
      <c r="A426" t="inlineStr">
        <is>
          <t>RC00278</t>
        </is>
      </c>
      <c r="B426" t="inlineStr">
        <is>
          <t>辽东学院</t>
        </is>
      </c>
      <c r="C426" t="n">
        <v>0</v>
      </c>
      <c r="D426" t="n">
        <v>0</v>
      </c>
      <c r="E426" t="n">
        <v>0</v>
      </c>
      <c r="F426" t="n">
        <v>6</v>
      </c>
      <c r="G426" t="n">
        <v>9036.309611046057</v>
      </c>
      <c r="H426" t="n">
        <v>32.2885003059272</v>
      </c>
      <c r="I426">
        <f>IF(H426=0, 0, G426/H426)</f>
        <v/>
      </c>
      <c r="J426">
        <f>RANK(I426, I$2:I$1111, 0)</f>
        <v/>
      </c>
      <c r="K426">
        <f>SUM(C426)</f>
        <v/>
      </c>
      <c r="L426">
        <f>SUM(K426,D426)</f>
        <v/>
      </c>
      <c r="M426">
        <f>SUM(L426,E426,F426)</f>
        <v/>
      </c>
      <c r="N426">
        <f>IF(L426=0, -1, K426/L426)</f>
        <v/>
      </c>
      <c r="O426">
        <f>IF(M426=0, -1, K426/M426)</f>
        <v/>
      </c>
      <c r="P426">
        <f>IF(M426=0, -1, L426/M426)</f>
        <v/>
      </c>
    </row>
    <row r="427">
      <c r="A427" t="inlineStr">
        <is>
          <t>RC00227</t>
        </is>
      </c>
      <c r="B427" t="inlineStr">
        <is>
          <t>太原学院</t>
        </is>
      </c>
      <c r="C427" t="n">
        <v>0</v>
      </c>
      <c r="D427" t="n">
        <v>0</v>
      </c>
      <c r="E427" t="n">
        <v>2</v>
      </c>
      <c r="F427" t="n">
        <v>9</v>
      </c>
      <c r="G427" t="n">
        <v>15385.80247333329</v>
      </c>
      <c r="H427" t="n">
        <v>48.63946351251781</v>
      </c>
      <c r="I427">
        <f>IF(H427=0, 0, G427/H427)</f>
        <v/>
      </c>
      <c r="J427">
        <f>RANK(I427, I$2:I$1111, 0)</f>
        <v/>
      </c>
      <c r="K427">
        <f>SUM(C427)</f>
        <v/>
      </c>
      <c r="L427">
        <f>SUM(K427,D427)</f>
        <v/>
      </c>
      <c r="M427">
        <f>SUM(L427,E427,F427)</f>
        <v/>
      </c>
      <c r="N427">
        <f>IF(L427=0, -1, K427/L427)</f>
        <v/>
      </c>
      <c r="O427">
        <f>IF(M427=0, -1, K427/M427)</f>
        <v/>
      </c>
      <c r="P427">
        <f>IF(M427=0, -1, L427/M427)</f>
        <v/>
      </c>
    </row>
    <row r="428">
      <c r="A428" t="inlineStr">
        <is>
          <t>RC01197</t>
        </is>
      </c>
      <c r="B428" t="inlineStr">
        <is>
          <t>成都锦城学院</t>
        </is>
      </c>
      <c r="C428" t="n">
        <v>0</v>
      </c>
      <c r="D428" t="n">
        <v>0</v>
      </c>
      <c r="E428" t="n">
        <v>2</v>
      </c>
      <c r="F428" t="n">
        <v>9</v>
      </c>
      <c r="G428" t="n">
        <v>14890.73374852715</v>
      </c>
      <c r="H428" t="n">
        <v>48.21275432002961</v>
      </c>
      <c r="I428">
        <f>IF(H428=0, 0, G428/H428)</f>
        <v/>
      </c>
      <c r="J428">
        <f>RANK(I428, I$2:I$1111, 0)</f>
        <v/>
      </c>
      <c r="K428">
        <f>SUM(C428)</f>
        <v/>
      </c>
      <c r="L428">
        <f>SUM(K428,D428)</f>
        <v/>
      </c>
      <c r="M428">
        <f>SUM(L428,E428,F428)</f>
        <v/>
      </c>
      <c r="N428">
        <f>IF(L428=0, -1, K428/L428)</f>
        <v/>
      </c>
      <c r="O428">
        <f>IF(M428=0, -1, K428/M428)</f>
        <v/>
      </c>
      <c r="P428">
        <f>IF(M428=0, -1, L428/M428)</f>
        <v/>
      </c>
    </row>
    <row r="429">
      <c r="A429" t="inlineStr">
        <is>
          <t>RC00768</t>
        </is>
      </c>
      <c r="B429" t="inlineStr">
        <is>
          <t>兰州文理学院</t>
        </is>
      </c>
      <c r="C429" t="n">
        <v>0</v>
      </c>
      <c r="D429" t="n">
        <v>0</v>
      </c>
      <c r="E429" t="n">
        <v>3</v>
      </c>
      <c r="F429" t="n">
        <v>11</v>
      </c>
      <c r="G429" t="n">
        <v>20198.53586245202</v>
      </c>
      <c r="H429" t="n">
        <v>66.9887326080087</v>
      </c>
      <c r="I429">
        <f>IF(H429=0, 0, G429/H429)</f>
        <v/>
      </c>
      <c r="J429">
        <f>RANK(I429, I$2:I$1111, 0)</f>
        <v/>
      </c>
      <c r="K429">
        <f>SUM(C429)</f>
        <v/>
      </c>
      <c r="L429">
        <f>SUM(K429,D429)</f>
        <v/>
      </c>
      <c r="M429">
        <f>SUM(L429,E429,F429)</f>
        <v/>
      </c>
      <c r="N429">
        <f>IF(L429=0, -1, K429/L429)</f>
        <v/>
      </c>
      <c r="O429">
        <f>IF(M429=0, -1, K429/M429)</f>
        <v/>
      </c>
      <c r="P429">
        <f>IF(M429=0, -1, L429/M429)</f>
        <v/>
      </c>
    </row>
    <row r="430">
      <c r="A430" t="inlineStr">
        <is>
          <t>RC00982</t>
        </is>
      </c>
      <c r="B430" t="inlineStr">
        <is>
          <t>河北经贸大学经济管理学院</t>
        </is>
      </c>
      <c r="C430" t="n">
        <v>0</v>
      </c>
      <c r="D430" t="n">
        <v>0</v>
      </c>
      <c r="E430" t="n">
        <v>0</v>
      </c>
      <c r="F430" t="n">
        <v>4</v>
      </c>
      <c r="G430" t="n">
        <v>4543.932229407923</v>
      </c>
      <c r="H430" t="n">
        <v>18.62322366388982</v>
      </c>
      <c r="I430">
        <f>IF(H430=0, 0, G430/H430)</f>
        <v/>
      </c>
      <c r="J430">
        <f>RANK(I430, I$2:I$1111, 0)</f>
        <v/>
      </c>
      <c r="K430">
        <f>SUM(C430)</f>
        <v/>
      </c>
      <c r="L430">
        <f>SUM(K430,D430)</f>
        <v/>
      </c>
      <c r="M430">
        <f>SUM(L430,E430,F430)</f>
        <v/>
      </c>
      <c r="N430">
        <f>IF(L430=0, -1, K430/L430)</f>
        <v/>
      </c>
      <c r="O430">
        <f>IF(M430=0, -1, K430/M430)</f>
        <v/>
      </c>
      <c r="P430">
        <f>IF(M430=0, -1, L430/M430)</f>
        <v/>
      </c>
    </row>
    <row r="431">
      <c r="A431" t="inlineStr">
        <is>
          <t>RC00861</t>
        </is>
      </c>
      <c r="B431" t="inlineStr">
        <is>
          <t>三江学院</t>
        </is>
      </c>
      <c r="C431" t="n">
        <v>0</v>
      </c>
      <c r="D431" t="n">
        <v>0</v>
      </c>
      <c r="E431" t="n">
        <v>1</v>
      </c>
      <c r="F431" t="n">
        <v>7</v>
      </c>
      <c r="G431" t="n">
        <v>12119.29790602563</v>
      </c>
      <c r="H431" t="n">
        <v>40.53886869907953</v>
      </c>
      <c r="I431">
        <f>IF(H431=0, 0, G431/H431)</f>
        <v/>
      </c>
      <c r="J431">
        <f>RANK(I431, I$2:I$1111, 0)</f>
        <v/>
      </c>
      <c r="K431">
        <f>SUM(C431)</f>
        <v/>
      </c>
      <c r="L431">
        <f>SUM(K431,D431)</f>
        <v/>
      </c>
      <c r="M431">
        <f>SUM(L431,E431,F431)</f>
        <v/>
      </c>
      <c r="N431">
        <f>IF(L431=0, -1, K431/L431)</f>
        <v/>
      </c>
      <c r="O431">
        <f>IF(M431=0, -1, K431/M431)</f>
        <v/>
      </c>
      <c r="P431">
        <f>IF(M431=0, -1, L431/M431)</f>
        <v/>
      </c>
    </row>
    <row r="432">
      <c r="A432" t="inlineStr">
        <is>
          <t>RC01037</t>
        </is>
      </c>
      <c r="B432" t="inlineStr">
        <is>
          <t>苏州大学应用技术学院</t>
        </is>
      </c>
      <c r="C432" t="n">
        <v>0</v>
      </c>
      <c r="D432" t="n">
        <v>0</v>
      </c>
      <c r="E432" t="n">
        <v>1</v>
      </c>
      <c r="F432" t="n">
        <v>3</v>
      </c>
      <c r="G432" t="n">
        <v>5714.616560473326</v>
      </c>
      <c r="H432" t="n">
        <v>18.34528994933364</v>
      </c>
      <c r="I432">
        <f>IF(H432=0, 0, G432/H432)</f>
        <v/>
      </c>
      <c r="J432">
        <f>RANK(I432, I$2:I$1111, 0)</f>
        <v/>
      </c>
      <c r="K432">
        <f>SUM(C432)</f>
        <v/>
      </c>
      <c r="L432">
        <f>SUM(K432,D432)</f>
        <v/>
      </c>
      <c r="M432">
        <f>SUM(L432,E432,F432)</f>
        <v/>
      </c>
      <c r="N432">
        <f>IF(L432=0, -1, K432/L432)</f>
        <v/>
      </c>
      <c r="O432">
        <f>IF(M432=0, -1, K432/M432)</f>
        <v/>
      </c>
      <c r="P432">
        <f>IF(M432=0, -1, L432/M432)</f>
        <v/>
      </c>
    </row>
    <row r="433">
      <c r="A433" t="inlineStr">
        <is>
          <t>RC01134</t>
        </is>
      </c>
      <c r="B433" t="inlineStr">
        <is>
          <t>湖北经济学院法商学院</t>
        </is>
      </c>
      <c r="C433" t="n">
        <v>0</v>
      </c>
      <c r="D433" t="n">
        <v>0</v>
      </c>
      <c r="E433" t="n">
        <v>0</v>
      </c>
      <c r="F433" t="n">
        <v>7</v>
      </c>
      <c r="G433" t="n">
        <v>9041.778714445216</v>
      </c>
      <c r="H433" t="n">
        <v>36.1346216701223</v>
      </c>
      <c r="I433">
        <f>IF(H433=0, 0, G433/H433)</f>
        <v/>
      </c>
      <c r="J433">
        <f>RANK(I433, I$2:I$1111, 0)</f>
        <v/>
      </c>
      <c r="K433">
        <f>SUM(C433)</f>
        <v/>
      </c>
      <c r="L433">
        <f>SUM(K433,D433)</f>
        <v/>
      </c>
      <c r="M433">
        <f>SUM(L433,E433,F433)</f>
        <v/>
      </c>
      <c r="N433">
        <f>IF(L433=0, -1, K433/L433)</f>
        <v/>
      </c>
      <c r="O433">
        <f>IF(M433=0, -1, K433/M433)</f>
        <v/>
      </c>
      <c r="P433">
        <f>IF(M433=0, -1, L433/M433)</f>
        <v/>
      </c>
    </row>
    <row r="434">
      <c r="A434" t="inlineStr">
        <is>
          <t>RC01069</t>
        </is>
      </c>
      <c r="B434" t="inlineStr">
        <is>
          <t>上海财经大学浙江学院</t>
        </is>
      </c>
      <c r="C434" t="n">
        <v>0</v>
      </c>
      <c r="D434" t="n">
        <v>0</v>
      </c>
      <c r="E434" t="n">
        <v>0</v>
      </c>
      <c r="F434" t="n">
        <v>3</v>
      </c>
      <c r="G434" t="n">
        <v>3174.003007054898</v>
      </c>
      <c r="H434" t="n">
        <v>10.83091602882074</v>
      </c>
      <c r="I434">
        <f>IF(H434=0, 0, G434/H434)</f>
        <v/>
      </c>
      <c r="J434">
        <f>RANK(I434, I$2:I$1111, 0)</f>
        <v/>
      </c>
      <c r="K434">
        <f>SUM(C434)</f>
        <v/>
      </c>
      <c r="L434">
        <f>SUM(K434,D434)</f>
        <v/>
      </c>
      <c r="M434">
        <f>SUM(L434,E434,F434)</f>
        <v/>
      </c>
      <c r="N434">
        <f>IF(L434=0, -1, K434/L434)</f>
        <v/>
      </c>
      <c r="O434">
        <f>IF(M434=0, -1, K434/M434)</f>
        <v/>
      </c>
      <c r="P434">
        <f>IF(M434=0, -1, L434/M434)</f>
        <v/>
      </c>
    </row>
    <row r="435">
      <c r="A435" t="inlineStr">
        <is>
          <t>RC00778</t>
        </is>
      </c>
      <c r="B435" t="inlineStr">
        <is>
          <t>塔里木大学</t>
        </is>
      </c>
      <c r="C435" t="n">
        <v>1</v>
      </c>
      <c r="D435" t="n">
        <v>0</v>
      </c>
      <c r="E435" t="n">
        <v>0</v>
      </c>
      <c r="F435" t="n">
        <v>17</v>
      </c>
      <c r="G435" t="n">
        <v>25874.52527145057</v>
      </c>
      <c r="H435" t="n">
        <v>81.5757976545805</v>
      </c>
      <c r="I435">
        <f>IF(H435=0, 0, G435/H435)</f>
        <v/>
      </c>
      <c r="J435">
        <f>RANK(I435, I$2:I$1111, 0)</f>
        <v/>
      </c>
      <c r="K435">
        <f>SUM(C435)</f>
        <v/>
      </c>
      <c r="L435">
        <f>SUM(K435,D435)</f>
        <v/>
      </c>
      <c r="M435">
        <f>SUM(L435,E435,F435)</f>
        <v/>
      </c>
      <c r="N435">
        <f>IF(L435=0, -1, K435/L435)</f>
        <v/>
      </c>
      <c r="O435">
        <f>IF(M435=0, -1, K435/M435)</f>
        <v/>
      </c>
      <c r="P435">
        <f>IF(M435=0, -1, L435/M435)</f>
        <v/>
      </c>
    </row>
    <row r="436">
      <c r="A436" t="inlineStr">
        <is>
          <t>RC01196</t>
        </is>
      </c>
      <c r="B436" t="inlineStr">
        <is>
          <t>电子科技大学成都学院</t>
        </is>
      </c>
      <c r="C436" t="n">
        <v>0</v>
      </c>
      <c r="D436" t="n">
        <v>0</v>
      </c>
      <c r="E436" t="n">
        <v>0</v>
      </c>
      <c r="F436" t="n">
        <v>2</v>
      </c>
      <c r="G436" t="n">
        <v>2138.935301381678</v>
      </c>
      <c r="H436" t="n">
        <v>9.131621787264777</v>
      </c>
      <c r="I436">
        <f>IF(H436=0, 0, G436/H436)</f>
        <v/>
      </c>
      <c r="J436">
        <f>RANK(I436, I$2:I$1111, 0)</f>
        <v/>
      </c>
      <c r="K436">
        <f>SUM(C436)</f>
        <v/>
      </c>
      <c r="L436">
        <f>SUM(K436,D436)</f>
        <v/>
      </c>
      <c r="M436">
        <f>SUM(L436,E436,F436)</f>
        <v/>
      </c>
      <c r="N436">
        <f>IF(L436=0, -1, K436/L436)</f>
        <v/>
      </c>
      <c r="O436">
        <f>IF(M436=0, -1, K436/M436)</f>
        <v/>
      </c>
      <c r="P436">
        <f>IF(M436=0, -1, L436/M436)</f>
        <v/>
      </c>
    </row>
    <row r="437">
      <c r="A437" t="inlineStr">
        <is>
          <t>RC00038</t>
        </is>
      </c>
      <c r="B437" t="inlineStr">
        <is>
          <t>北京化工大学</t>
        </is>
      </c>
      <c r="C437" t="n">
        <v>5</v>
      </c>
      <c r="D437" t="n">
        <v>10</v>
      </c>
      <c r="E437" t="n">
        <v>26</v>
      </c>
      <c r="F437" t="n">
        <v>1</v>
      </c>
      <c r="G437" t="n">
        <v>131976.8431269084</v>
      </c>
      <c r="H437" t="n">
        <v>209.681861514422</v>
      </c>
      <c r="I437">
        <f>IF(H437=0, 0, G437/H437)</f>
        <v/>
      </c>
      <c r="J437">
        <f>RANK(I437, I$2:I$1111, 0)</f>
        <v/>
      </c>
      <c r="K437">
        <f>SUM(C437)</f>
        <v/>
      </c>
      <c r="L437">
        <f>SUM(K437,D437)</f>
        <v/>
      </c>
      <c r="M437">
        <f>SUM(L437,E437,F437)</f>
        <v/>
      </c>
      <c r="N437">
        <f>IF(L437=0, -1, K437/L437)</f>
        <v/>
      </c>
      <c r="O437">
        <f>IF(M437=0, -1, K437/M437)</f>
        <v/>
      </c>
      <c r="P437">
        <f>IF(M437=0, -1, L437/M437)</f>
        <v/>
      </c>
    </row>
    <row r="438">
      <c r="A438" t="inlineStr">
        <is>
          <t>RC00865</t>
        </is>
      </c>
      <c r="B438" t="inlineStr">
        <is>
          <t>西交利物浦大学</t>
        </is>
      </c>
      <c r="C438" t="n">
        <v>0</v>
      </c>
      <c r="D438" t="n">
        <v>0</v>
      </c>
      <c r="E438" t="n">
        <v>10</v>
      </c>
      <c r="F438" t="n">
        <v>24</v>
      </c>
      <c r="G438" t="n">
        <v>61921.0168079115</v>
      </c>
      <c r="H438" t="n">
        <v>171.2806349995599</v>
      </c>
      <c r="I438">
        <f>IF(H438=0, 0, G438/H438)</f>
        <v/>
      </c>
      <c r="J438">
        <f>RANK(I438, I$2:I$1111, 0)</f>
        <v/>
      </c>
      <c r="K438">
        <f>SUM(C438)</f>
        <v/>
      </c>
      <c r="L438">
        <f>SUM(K438,D438)</f>
        <v/>
      </c>
      <c r="M438">
        <f>SUM(L438,E438,F438)</f>
        <v/>
      </c>
      <c r="N438">
        <f>IF(L438=0, -1, K438/L438)</f>
        <v/>
      </c>
      <c r="O438">
        <f>IF(M438=0, -1, K438/M438)</f>
        <v/>
      </c>
      <c r="P438">
        <f>IF(M438=0, -1, L438/M438)</f>
        <v/>
      </c>
    </row>
    <row r="439">
      <c r="A439" t="inlineStr">
        <is>
          <t>RC00619</t>
        </is>
      </c>
      <c r="B439" t="inlineStr">
        <is>
          <t>广东第二师范学院</t>
        </is>
      </c>
      <c r="C439" t="n">
        <v>0</v>
      </c>
      <c r="D439" t="n">
        <v>0</v>
      </c>
      <c r="E439" t="n">
        <v>1</v>
      </c>
      <c r="F439" t="n">
        <v>13</v>
      </c>
      <c r="G439" t="n">
        <v>23344.32241950931</v>
      </c>
      <c r="H439" t="n">
        <v>71.76248071888043</v>
      </c>
      <c r="I439">
        <f>IF(H439=0, 0, G439/H439)</f>
        <v/>
      </c>
      <c r="J439">
        <f>RANK(I439, I$2:I$1111, 0)</f>
        <v/>
      </c>
      <c r="K439">
        <f>SUM(C439)</f>
        <v/>
      </c>
      <c r="L439">
        <f>SUM(K439,D439)</f>
        <v/>
      </c>
      <c r="M439">
        <f>SUM(L439,E439,F439)</f>
        <v/>
      </c>
      <c r="N439">
        <f>IF(L439=0, -1, K439/L439)</f>
        <v/>
      </c>
      <c r="O439">
        <f>IF(M439=0, -1, K439/M439)</f>
        <v/>
      </c>
      <c r="P439">
        <f>IF(M439=0, -1, L439/M439)</f>
        <v/>
      </c>
    </row>
    <row r="440">
      <c r="A440" t="inlineStr">
        <is>
          <t>RC00926</t>
        </is>
      </c>
      <c r="B440" t="inlineStr">
        <is>
          <t>北师香港浸会大学</t>
        </is>
      </c>
      <c r="C440" t="n">
        <v>0</v>
      </c>
      <c r="D440" t="n">
        <v>0</v>
      </c>
      <c r="E440" t="n">
        <v>4</v>
      </c>
      <c r="F440" t="n">
        <v>13</v>
      </c>
      <c r="G440" t="n">
        <v>30642.1680651034</v>
      </c>
      <c r="H440" t="n">
        <v>89.59718090065653</v>
      </c>
      <c r="I440">
        <f>IF(H440=0, 0, G440/H440)</f>
        <v/>
      </c>
      <c r="J440">
        <f>RANK(I440, I$2:I$1111, 0)</f>
        <v/>
      </c>
      <c r="K440">
        <f>SUM(C440)</f>
        <v/>
      </c>
      <c r="L440">
        <f>SUM(K440,D440)</f>
        <v/>
      </c>
      <c r="M440">
        <f>SUM(L440,E440,F440)</f>
        <v/>
      </c>
      <c r="N440">
        <f>IF(L440=0, -1, K440/L440)</f>
        <v/>
      </c>
      <c r="O440">
        <f>IF(M440=0, -1, K440/M440)</f>
        <v/>
      </c>
      <c r="P440">
        <f>IF(M440=0, -1, L440/M440)</f>
        <v/>
      </c>
    </row>
    <row r="441">
      <c r="A441" t="inlineStr">
        <is>
          <t>RC00628</t>
        </is>
      </c>
      <c r="B441" t="inlineStr">
        <is>
          <t>南宁师范大学</t>
        </is>
      </c>
      <c r="C441" t="n">
        <v>0</v>
      </c>
      <c r="D441" t="n">
        <v>0</v>
      </c>
      <c r="E441" t="n">
        <v>19</v>
      </c>
      <c r="F441" t="n">
        <v>31</v>
      </c>
      <c r="G441" t="n">
        <v>97604.24537577281</v>
      </c>
      <c r="H441" t="n">
        <v>244.0992400624632</v>
      </c>
      <c r="I441">
        <f>IF(H441=0, 0, G441/H441)</f>
        <v/>
      </c>
      <c r="J441">
        <f>RANK(I441, I$2:I$1111, 0)</f>
        <v/>
      </c>
      <c r="K441">
        <f>SUM(C441)</f>
        <v/>
      </c>
      <c r="L441">
        <f>SUM(K441,D441)</f>
        <v/>
      </c>
      <c r="M441">
        <f>SUM(L441,E441,F441)</f>
        <v/>
      </c>
      <c r="N441">
        <f>IF(L441=0, -1, K441/L441)</f>
        <v/>
      </c>
      <c r="O441">
        <f>IF(M441=0, -1, K441/M441)</f>
        <v/>
      </c>
      <c r="P441">
        <f>IF(M441=0, -1, L441/M441)</f>
        <v/>
      </c>
    </row>
    <row r="442">
      <c r="A442" t="inlineStr">
        <is>
          <t>RC00520</t>
        </is>
      </c>
      <c r="B442" t="inlineStr">
        <is>
          <t>洛阳师范学院</t>
        </is>
      </c>
      <c r="C442" t="n">
        <v>0</v>
      </c>
      <c r="D442" t="n">
        <v>0</v>
      </c>
      <c r="E442" t="n">
        <v>4</v>
      </c>
      <c r="F442" t="n">
        <v>15</v>
      </c>
      <c r="G442" t="n">
        <v>35699.95104650685</v>
      </c>
      <c r="H442" t="n">
        <v>98.86373016264672</v>
      </c>
      <c r="I442">
        <f>IF(H442=0, 0, G442/H442)</f>
        <v/>
      </c>
      <c r="J442">
        <f>RANK(I442, I$2:I$1111, 0)</f>
        <v/>
      </c>
      <c r="K442">
        <f>SUM(C442)</f>
        <v/>
      </c>
      <c r="L442">
        <f>SUM(K442,D442)</f>
        <v/>
      </c>
      <c r="M442">
        <f>SUM(L442,E442,F442)</f>
        <v/>
      </c>
      <c r="N442">
        <f>IF(L442=0, -1, K442/L442)</f>
        <v/>
      </c>
      <c r="O442">
        <f>IF(M442=0, -1, K442/M442)</f>
        <v/>
      </c>
      <c r="P442">
        <f>IF(M442=0, -1, L442/M442)</f>
        <v/>
      </c>
    </row>
    <row r="443">
      <c r="A443" t="inlineStr">
        <is>
          <t>RC00171</t>
        </is>
      </c>
      <c r="B443" t="inlineStr">
        <is>
          <t>天津职业技术师范大学</t>
        </is>
      </c>
      <c r="C443" t="n">
        <v>1</v>
      </c>
      <c r="D443" t="n">
        <v>2</v>
      </c>
      <c r="E443" t="n">
        <v>9</v>
      </c>
      <c r="F443" t="n">
        <v>22</v>
      </c>
      <c r="G443" t="n">
        <v>67453.1331459099</v>
      </c>
      <c r="H443" t="n">
        <v>168.6172517746604</v>
      </c>
      <c r="I443">
        <f>IF(H443=0, 0, G443/H443)</f>
        <v/>
      </c>
      <c r="J443">
        <f>RANK(I443, I$2:I$1111, 0)</f>
        <v/>
      </c>
      <c r="K443">
        <f>SUM(C443)</f>
        <v/>
      </c>
      <c r="L443">
        <f>SUM(K443,D443)</f>
        <v/>
      </c>
      <c r="M443">
        <f>SUM(L443,E443,F443)</f>
        <v/>
      </c>
      <c r="N443">
        <f>IF(L443=0, -1, K443/L443)</f>
        <v/>
      </c>
      <c r="O443">
        <f>IF(M443=0, -1, K443/M443)</f>
        <v/>
      </c>
      <c r="P443">
        <f>IF(M443=0, -1, L443/M443)</f>
        <v/>
      </c>
    </row>
    <row r="444">
      <c r="A444" t="inlineStr">
        <is>
          <t>RC00126</t>
        </is>
      </c>
      <c r="B444" t="inlineStr">
        <is>
          <t>北方工业大学</t>
        </is>
      </c>
      <c r="C444" t="n">
        <v>0</v>
      </c>
      <c r="D444" t="n">
        <v>4</v>
      </c>
      <c r="E444" t="n">
        <v>23</v>
      </c>
      <c r="F444" t="n">
        <v>8</v>
      </c>
      <c r="G444" t="n">
        <v>86043.53636558953</v>
      </c>
      <c r="H444" t="n">
        <v>175.6312139797768</v>
      </c>
      <c r="I444">
        <f>IF(H444=0, 0, G444/H444)</f>
        <v/>
      </c>
      <c r="J444">
        <f>RANK(I444, I$2:I$1111, 0)</f>
        <v/>
      </c>
      <c r="K444">
        <f>SUM(C444)</f>
        <v/>
      </c>
      <c r="L444">
        <f>SUM(K444,D444)</f>
        <v/>
      </c>
      <c r="M444">
        <f>SUM(L444,E444,F444)</f>
        <v/>
      </c>
      <c r="N444">
        <f>IF(L444=0, -1, K444/L444)</f>
        <v/>
      </c>
      <c r="O444">
        <f>IF(M444=0, -1, K444/M444)</f>
        <v/>
      </c>
      <c r="P444">
        <f>IF(M444=0, -1, L444/M444)</f>
        <v/>
      </c>
    </row>
    <row r="445">
      <c r="A445" t="inlineStr">
        <is>
          <t>RC00102</t>
        </is>
      </c>
      <c r="B445" t="inlineStr">
        <is>
          <t>燕山大学</t>
        </is>
      </c>
      <c r="C445" t="n">
        <v>1</v>
      </c>
      <c r="D445" t="n">
        <v>12</v>
      </c>
      <c r="E445" t="n">
        <v>33</v>
      </c>
      <c r="F445" t="n">
        <v>9</v>
      </c>
      <c r="G445" t="n">
        <v>152451.8355121628</v>
      </c>
      <c r="H445" t="n">
        <v>274.4533937094125</v>
      </c>
      <c r="I445">
        <f>IF(H445=0, 0, G445/H445)</f>
        <v/>
      </c>
      <c r="J445">
        <f>RANK(I445, I$2:I$1111, 0)</f>
        <v/>
      </c>
      <c r="K445">
        <f>SUM(C445)</f>
        <v/>
      </c>
      <c r="L445">
        <f>SUM(K445,D445)</f>
        <v/>
      </c>
      <c r="M445">
        <f>SUM(L445,E445,F445)</f>
        <v/>
      </c>
      <c r="N445">
        <f>IF(L445=0, -1, K445/L445)</f>
        <v/>
      </c>
      <c r="O445">
        <f>IF(M445=0, -1, K445/M445)</f>
        <v/>
      </c>
      <c r="P445">
        <f>IF(M445=0, -1, L445/M445)</f>
        <v/>
      </c>
    </row>
    <row r="446">
      <c r="A446" t="inlineStr">
        <is>
          <t>RC00118</t>
        </is>
      </c>
      <c r="B446" t="inlineStr">
        <is>
          <t>南通大学</t>
        </is>
      </c>
      <c r="C446" t="n">
        <v>0</v>
      </c>
      <c r="D446" t="n">
        <v>5</v>
      </c>
      <c r="E446" t="n">
        <v>48</v>
      </c>
      <c r="F446" t="n">
        <v>27</v>
      </c>
      <c r="G446" t="n">
        <v>188005.4438801495</v>
      </c>
      <c r="H446" t="n">
        <v>396.3151179119174</v>
      </c>
      <c r="I446">
        <f>IF(H446=0, 0, G446/H446)</f>
        <v/>
      </c>
      <c r="J446">
        <f>RANK(I446, I$2:I$1111, 0)</f>
        <v/>
      </c>
      <c r="K446">
        <f>SUM(C446)</f>
        <v/>
      </c>
      <c r="L446">
        <f>SUM(K446,D446)</f>
        <v/>
      </c>
      <c r="M446">
        <f>SUM(L446,E446,F446)</f>
        <v/>
      </c>
      <c r="N446">
        <f>IF(L446=0, -1, K446/L446)</f>
        <v/>
      </c>
      <c r="O446">
        <f>IF(M446=0, -1, K446/M446)</f>
        <v/>
      </c>
      <c r="P446">
        <f>IF(M446=0, -1, L446/M446)</f>
        <v/>
      </c>
    </row>
    <row r="447">
      <c r="A447" t="inlineStr">
        <is>
          <t>RC00593</t>
        </is>
      </c>
      <c r="B447" t="inlineStr">
        <is>
          <t>广东海洋大学</t>
        </is>
      </c>
      <c r="C447" t="n">
        <v>0</v>
      </c>
      <c r="D447" t="n">
        <v>1</v>
      </c>
      <c r="E447" t="n">
        <v>10</v>
      </c>
      <c r="F447" t="n">
        <v>35</v>
      </c>
      <c r="G447" t="n">
        <v>81496.76092427649</v>
      </c>
      <c r="H447" t="n">
        <v>219.7261823648659</v>
      </c>
      <c r="I447">
        <f>IF(H447=0, 0, G447/H447)</f>
        <v/>
      </c>
      <c r="J447">
        <f>RANK(I447, I$2:I$1111, 0)</f>
        <v/>
      </c>
      <c r="K447">
        <f>SUM(C447)</f>
        <v/>
      </c>
      <c r="L447">
        <f>SUM(K447,D447)</f>
        <v/>
      </c>
      <c r="M447">
        <f>SUM(L447,E447,F447)</f>
        <v/>
      </c>
      <c r="N447">
        <f>IF(L447=0, -1, K447/L447)</f>
        <v/>
      </c>
      <c r="O447">
        <f>IF(M447=0, -1, K447/M447)</f>
        <v/>
      </c>
      <c r="P447">
        <f>IF(M447=0, -1, L447/M447)</f>
        <v/>
      </c>
    </row>
    <row r="448">
      <c r="A448" t="inlineStr">
        <is>
          <t>RC00258</t>
        </is>
      </c>
      <c r="B448" t="inlineStr">
        <is>
          <t>大连海洋大学</t>
        </is>
      </c>
      <c r="C448" t="n">
        <v>0</v>
      </c>
      <c r="D448" t="n">
        <v>0</v>
      </c>
      <c r="E448" t="n">
        <v>5</v>
      </c>
      <c r="F448" t="n">
        <v>20</v>
      </c>
      <c r="G448" t="n">
        <v>41248.43402910884</v>
      </c>
      <c r="H448" t="n">
        <v>111.6531086219439</v>
      </c>
      <c r="I448">
        <f>IF(H448=0, 0, G448/H448)</f>
        <v/>
      </c>
      <c r="J448">
        <f>RANK(I448, I$2:I$1111, 0)</f>
        <v/>
      </c>
      <c r="K448">
        <f>SUM(C448)</f>
        <v/>
      </c>
      <c r="L448">
        <f>SUM(K448,D448)</f>
        <v/>
      </c>
      <c r="M448">
        <f>SUM(L448,E448,F448)</f>
        <v/>
      </c>
      <c r="N448">
        <f>IF(L448=0, -1, K448/L448)</f>
        <v/>
      </c>
      <c r="O448">
        <f>IF(M448=0, -1, K448/M448)</f>
        <v/>
      </c>
      <c r="P448">
        <f>IF(M448=0, -1, L448/M448)</f>
        <v/>
      </c>
    </row>
    <row r="449">
      <c r="A449" t="inlineStr">
        <is>
          <t>RC00166</t>
        </is>
      </c>
      <c r="B449" t="inlineStr">
        <is>
          <t>中国民航大学</t>
        </is>
      </c>
      <c r="C449" t="n">
        <v>2</v>
      </c>
      <c r="D449" t="n">
        <v>2</v>
      </c>
      <c r="E449" t="n">
        <v>23</v>
      </c>
      <c r="F449" t="n">
        <v>13</v>
      </c>
      <c r="G449" t="n">
        <v>80976.40920996758</v>
      </c>
      <c r="H449" t="n">
        <v>175.4125776655153</v>
      </c>
      <c r="I449">
        <f>IF(H449=0, 0, G449/H449)</f>
        <v/>
      </c>
      <c r="J449">
        <f>RANK(I449, I$2:I$1111, 0)</f>
        <v/>
      </c>
      <c r="K449">
        <f>SUM(C449)</f>
        <v/>
      </c>
      <c r="L449">
        <f>SUM(K449,D449)</f>
        <v/>
      </c>
      <c r="M449">
        <f>SUM(L449,E449,F449)</f>
        <v/>
      </c>
      <c r="N449">
        <f>IF(L449=0, -1, K449/L449)</f>
        <v/>
      </c>
      <c r="O449">
        <f>IF(M449=0, -1, K449/M449)</f>
        <v/>
      </c>
      <c r="P449">
        <f>IF(M449=0, -1, L449/M449)</f>
        <v/>
      </c>
    </row>
    <row r="450">
      <c r="A450" t="inlineStr">
        <is>
          <t>RC00772</t>
        </is>
      </c>
      <c r="B450" t="inlineStr">
        <is>
          <t>青海民族大学</t>
        </is>
      </c>
      <c r="C450" t="n">
        <v>0</v>
      </c>
      <c r="D450" t="n">
        <v>0</v>
      </c>
      <c r="E450" t="n">
        <v>7</v>
      </c>
      <c r="F450" t="n">
        <v>19</v>
      </c>
      <c r="G450" t="n">
        <v>46839.6400171435</v>
      </c>
      <c r="H450" t="n">
        <v>129.8184646503649</v>
      </c>
      <c r="I450">
        <f>IF(H450=0, 0, G450/H450)</f>
        <v/>
      </c>
      <c r="J450">
        <f>RANK(I450, I$2:I$1111, 0)</f>
        <v/>
      </c>
      <c r="K450">
        <f>SUM(C450)</f>
        <v/>
      </c>
      <c r="L450">
        <f>SUM(K450,D450)</f>
        <v/>
      </c>
      <c r="M450">
        <f>SUM(L450,E450,F450)</f>
        <v/>
      </c>
      <c r="N450">
        <f>IF(L450=0, -1, K450/L450)</f>
        <v/>
      </c>
      <c r="O450">
        <f>IF(M450=0, -1, K450/M450)</f>
        <v/>
      </c>
      <c r="P450">
        <f>IF(M450=0, -1, L450/M450)</f>
        <v/>
      </c>
    </row>
    <row r="451">
      <c r="A451" t="inlineStr">
        <is>
          <t>RC00615</t>
        </is>
      </c>
      <c r="B451" t="inlineStr">
        <is>
          <t>东莞理工学院</t>
        </is>
      </c>
      <c r="C451" t="n">
        <v>0</v>
      </c>
      <c r="D451" t="n">
        <v>1</v>
      </c>
      <c r="E451" t="n">
        <v>15</v>
      </c>
      <c r="F451" t="n">
        <v>26</v>
      </c>
      <c r="G451" t="n">
        <v>83680.81978929832</v>
      </c>
      <c r="H451" t="n">
        <v>212.9171850287271</v>
      </c>
      <c r="I451">
        <f>IF(H451=0, 0, G451/H451)</f>
        <v/>
      </c>
      <c r="J451">
        <f>RANK(I451, I$2:I$1111, 0)</f>
        <v/>
      </c>
      <c r="K451">
        <f>SUM(C451)</f>
        <v/>
      </c>
      <c r="L451">
        <f>SUM(K451,D451)</f>
        <v/>
      </c>
      <c r="M451">
        <f>SUM(L451,E451,F451)</f>
        <v/>
      </c>
      <c r="N451">
        <f>IF(L451=0, -1, K451/L451)</f>
        <v/>
      </c>
      <c r="O451">
        <f>IF(M451=0, -1, K451/M451)</f>
        <v/>
      </c>
      <c r="P451">
        <f>IF(M451=0, -1, L451/M451)</f>
        <v/>
      </c>
    </row>
    <row r="452">
      <c r="A452" t="inlineStr">
        <is>
          <t>RC00375</t>
        </is>
      </c>
      <c r="B452" t="inlineStr">
        <is>
          <t>江苏第二师范学院</t>
        </is>
      </c>
      <c r="C452" t="n">
        <v>0</v>
      </c>
      <c r="D452" t="n">
        <v>0</v>
      </c>
      <c r="E452" t="n">
        <v>7</v>
      </c>
      <c r="F452" t="n">
        <v>19</v>
      </c>
      <c r="G452" t="n">
        <v>48174.45092481968</v>
      </c>
      <c r="H452" t="n">
        <v>133.1747162476382</v>
      </c>
      <c r="I452">
        <f>IF(H452=0, 0, G452/H452)</f>
        <v/>
      </c>
      <c r="J452">
        <f>RANK(I452, I$2:I$1111, 0)</f>
        <v/>
      </c>
      <c r="K452">
        <f>SUM(C452)</f>
        <v/>
      </c>
      <c r="L452">
        <f>SUM(K452,D452)</f>
        <v/>
      </c>
      <c r="M452">
        <f>SUM(L452,E452,F452)</f>
        <v/>
      </c>
      <c r="N452">
        <f>IF(L452=0, -1, K452/L452)</f>
        <v/>
      </c>
      <c r="O452">
        <f>IF(M452=0, -1, K452/M452)</f>
        <v/>
      </c>
      <c r="P452">
        <f>IF(M452=0, -1, L452/M452)</f>
        <v/>
      </c>
    </row>
    <row r="453">
      <c r="A453" t="inlineStr">
        <is>
          <t>RC00453</t>
        </is>
      </c>
      <c r="B453" t="inlineStr">
        <is>
          <t>井冈山大学</t>
        </is>
      </c>
      <c r="C453" t="n">
        <v>0</v>
      </c>
      <c r="D453" t="n">
        <v>0</v>
      </c>
      <c r="E453" t="n">
        <v>5</v>
      </c>
      <c r="F453" t="n">
        <v>28</v>
      </c>
      <c r="G453" t="n">
        <v>58293.77125605408</v>
      </c>
      <c r="H453" t="n">
        <v>169.813145535736</v>
      </c>
      <c r="I453">
        <f>IF(H453=0, 0, G453/H453)</f>
        <v/>
      </c>
      <c r="J453">
        <f>RANK(I453, I$2:I$1111, 0)</f>
        <v/>
      </c>
      <c r="K453">
        <f>SUM(C453)</f>
        <v/>
      </c>
      <c r="L453">
        <f>SUM(K453,D453)</f>
        <v/>
      </c>
      <c r="M453">
        <f>SUM(L453,E453,F453)</f>
        <v/>
      </c>
      <c r="N453">
        <f>IF(L453=0, -1, K453/L453)</f>
        <v/>
      </c>
      <c r="O453">
        <f>IF(M453=0, -1, K453/M453)</f>
        <v/>
      </c>
      <c r="P453">
        <f>IF(M453=0, -1, L453/M453)</f>
        <v/>
      </c>
    </row>
    <row r="454">
      <c r="A454" t="inlineStr">
        <is>
          <t>RC00368</t>
        </is>
      </c>
      <c r="B454" t="inlineStr">
        <is>
          <t>南京晓庄学院</t>
        </is>
      </c>
      <c r="C454" t="n">
        <v>0</v>
      </c>
      <c r="D454" t="n">
        <v>0</v>
      </c>
      <c r="E454" t="n">
        <v>14</v>
      </c>
      <c r="F454" t="n">
        <v>25</v>
      </c>
      <c r="G454" t="n">
        <v>74773.31188530996</v>
      </c>
      <c r="H454" t="n">
        <v>202.6868271184181</v>
      </c>
      <c r="I454">
        <f>IF(H454=0, 0, G454/H454)</f>
        <v/>
      </c>
      <c r="J454">
        <f>RANK(I454, I$2:I$1111, 0)</f>
        <v/>
      </c>
      <c r="K454">
        <f>SUM(C454)</f>
        <v/>
      </c>
      <c r="L454">
        <f>SUM(K454,D454)</f>
        <v/>
      </c>
      <c r="M454">
        <f>SUM(L454,E454,F454)</f>
        <v/>
      </c>
      <c r="N454">
        <f>IF(L454=0, -1, K454/L454)</f>
        <v/>
      </c>
      <c r="O454">
        <f>IF(M454=0, -1, K454/M454)</f>
        <v/>
      </c>
      <c r="P454">
        <f>IF(M454=0, -1, L454/M454)</f>
        <v/>
      </c>
    </row>
    <row r="455">
      <c r="A455" t="inlineStr">
        <is>
          <t>RC00545</t>
        </is>
      </c>
      <c r="B455" t="inlineStr">
        <is>
          <t>黄冈师范学院</t>
        </is>
      </c>
      <c r="C455" t="n">
        <v>0</v>
      </c>
      <c r="D455" t="n">
        <v>0</v>
      </c>
      <c r="E455" t="n">
        <v>8</v>
      </c>
      <c r="F455" t="n">
        <v>29</v>
      </c>
      <c r="G455" t="n">
        <v>65599.78073003686</v>
      </c>
      <c r="H455" t="n">
        <v>190.4470127042864</v>
      </c>
      <c r="I455">
        <f>IF(H455=0, 0, G455/H455)</f>
        <v/>
      </c>
      <c r="J455">
        <f>RANK(I455, I$2:I$1111, 0)</f>
        <v/>
      </c>
      <c r="K455">
        <f>SUM(C455)</f>
        <v/>
      </c>
      <c r="L455">
        <f>SUM(K455,D455)</f>
        <v/>
      </c>
      <c r="M455">
        <f>SUM(L455,E455,F455)</f>
        <v/>
      </c>
      <c r="N455">
        <f>IF(L455=0, -1, K455/L455)</f>
        <v/>
      </c>
      <c r="O455">
        <f>IF(M455=0, -1, K455/M455)</f>
        <v/>
      </c>
      <c r="P455">
        <f>IF(M455=0, -1, L455/M455)</f>
        <v/>
      </c>
    </row>
    <row r="456">
      <c r="A456" t="inlineStr">
        <is>
          <t>RC00293</t>
        </is>
      </c>
      <c r="B456" t="inlineStr">
        <is>
          <t>长春师范大学</t>
        </is>
      </c>
      <c r="C456" t="n">
        <v>1</v>
      </c>
      <c r="D456" t="n">
        <v>0</v>
      </c>
      <c r="E456" t="n">
        <v>10</v>
      </c>
      <c r="F456" t="n">
        <v>38</v>
      </c>
      <c r="G456" t="n">
        <v>91886.82877416695</v>
      </c>
      <c r="H456" t="n">
        <v>239.8961260818469</v>
      </c>
      <c r="I456">
        <f>IF(H456=0, 0, G456/H456)</f>
        <v/>
      </c>
      <c r="J456">
        <f>RANK(I456, I$2:I$1111, 0)</f>
        <v/>
      </c>
      <c r="K456">
        <f>SUM(C456)</f>
        <v/>
      </c>
      <c r="L456">
        <f>SUM(K456,D456)</f>
        <v/>
      </c>
      <c r="M456">
        <f>SUM(L456,E456,F456)</f>
        <v/>
      </c>
      <c r="N456">
        <f>IF(L456=0, -1, K456/L456)</f>
        <v/>
      </c>
      <c r="O456">
        <f>IF(M456=0, -1, K456/M456)</f>
        <v/>
      </c>
      <c r="P456">
        <f>IF(M456=0, -1, L456/M456)</f>
        <v/>
      </c>
    </row>
    <row r="457">
      <c r="A457" t="inlineStr">
        <is>
          <t>RC00493</t>
        </is>
      </c>
      <c r="B457" t="inlineStr">
        <is>
          <t>潍坊学院</t>
        </is>
      </c>
      <c r="C457" t="n">
        <v>0</v>
      </c>
      <c r="D457" t="n">
        <v>0</v>
      </c>
      <c r="E457" t="n">
        <v>4</v>
      </c>
      <c r="F457" t="n">
        <v>25</v>
      </c>
      <c r="G457" t="n">
        <v>46846.58414501084</v>
      </c>
      <c r="H457" t="n">
        <v>150.6495311065528</v>
      </c>
      <c r="I457">
        <f>IF(H457=0, 0, G457/H457)</f>
        <v/>
      </c>
      <c r="J457">
        <f>RANK(I457, I$2:I$1111, 0)</f>
        <v/>
      </c>
      <c r="K457">
        <f>SUM(C457)</f>
        <v/>
      </c>
      <c r="L457">
        <f>SUM(K457,D457)</f>
        <v/>
      </c>
      <c r="M457">
        <f>SUM(L457,E457,F457)</f>
        <v/>
      </c>
      <c r="N457">
        <f>IF(L457=0, -1, K457/L457)</f>
        <v/>
      </c>
      <c r="O457">
        <f>IF(M457=0, -1, K457/M457)</f>
        <v/>
      </c>
      <c r="P457">
        <f>IF(M457=0, -1, L457/M457)</f>
        <v/>
      </c>
    </row>
    <row r="458">
      <c r="A458" t="inlineStr">
        <is>
          <t>RC00354</t>
        </is>
      </c>
      <c r="B458" t="inlineStr">
        <is>
          <t>淮阴师范学院</t>
        </is>
      </c>
      <c r="C458" t="n">
        <v>0</v>
      </c>
      <c r="D458" t="n">
        <v>0</v>
      </c>
      <c r="E458" t="n">
        <v>9</v>
      </c>
      <c r="F458" t="n">
        <v>28</v>
      </c>
      <c r="G458" t="n">
        <v>67502.34773101205</v>
      </c>
      <c r="H458" t="n">
        <v>191.3318374139735</v>
      </c>
      <c r="I458">
        <f>IF(H458=0, 0, G458/H458)</f>
        <v/>
      </c>
      <c r="J458">
        <f>RANK(I458, I$2:I$1111, 0)</f>
        <v/>
      </c>
      <c r="K458">
        <f>SUM(C458)</f>
        <v/>
      </c>
      <c r="L458">
        <f>SUM(K458,D458)</f>
        <v/>
      </c>
      <c r="M458">
        <f>SUM(L458,E458,F458)</f>
        <v/>
      </c>
      <c r="N458">
        <f>IF(L458=0, -1, K458/L458)</f>
        <v/>
      </c>
      <c r="O458">
        <f>IF(M458=0, -1, K458/M458)</f>
        <v/>
      </c>
      <c r="P458">
        <f>IF(M458=0, -1, L458/M458)</f>
        <v/>
      </c>
    </row>
    <row r="459">
      <c r="A459" t="inlineStr">
        <is>
          <t>RC00471</t>
        </is>
      </c>
      <c r="B459" t="inlineStr">
        <is>
          <t>青岛农业大学</t>
        </is>
      </c>
      <c r="C459" t="n">
        <v>1</v>
      </c>
      <c r="D459" t="n">
        <v>0</v>
      </c>
      <c r="E459" t="n">
        <v>13</v>
      </c>
      <c r="F459" t="n">
        <v>28</v>
      </c>
      <c r="G459" t="n">
        <v>75371.98708993373</v>
      </c>
      <c r="H459" t="n">
        <v>191.0680802664372</v>
      </c>
      <c r="I459">
        <f>IF(H459=0, 0, G459/H459)</f>
        <v/>
      </c>
      <c r="J459">
        <f>RANK(I459, I$2:I$1111, 0)</f>
        <v/>
      </c>
      <c r="K459">
        <f>SUM(C459)</f>
        <v/>
      </c>
      <c r="L459">
        <f>SUM(K459,D459)</f>
        <v/>
      </c>
      <c r="M459">
        <f>SUM(L459,E459,F459)</f>
        <v/>
      </c>
      <c r="N459">
        <f>IF(L459=0, -1, K459/L459)</f>
        <v/>
      </c>
      <c r="O459">
        <f>IF(M459=0, -1, K459/M459)</f>
        <v/>
      </c>
      <c r="P459">
        <f>IF(M459=0, -1, L459/M459)</f>
        <v/>
      </c>
    </row>
    <row r="460">
      <c r="A460" t="inlineStr">
        <is>
          <t>RC00673</t>
        </is>
      </c>
      <c r="B460" t="inlineStr">
        <is>
          <t>内江师范学院</t>
        </is>
      </c>
      <c r="C460" t="n">
        <v>0</v>
      </c>
      <c r="D460" t="n">
        <v>0</v>
      </c>
      <c r="E460" t="n">
        <v>2</v>
      </c>
      <c r="F460" t="n">
        <v>13</v>
      </c>
      <c r="G460" t="n">
        <v>25484.5348593233</v>
      </c>
      <c r="H460" t="n">
        <v>69.46362698969278</v>
      </c>
      <c r="I460">
        <f>IF(H460=0, 0, G460/H460)</f>
        <v/>
      </c>
      <c r="J460">
        <f>RANK(I460, I$2:I$1111, 0)</f>
        <v/>
      </c>
      <c r="K460">
        <f>SUM(C460)</f>
        <v/>
      </c>
      <c r="L460">
        <f>SUM(K460,D460)</f>
        <v/>
      </c>
      <c r="M460">
        <f>SUM(L460,E460,F460)</f>
        <v/>
      </c>
      <c r="N460">
        <f>IF(L460=0, -1, K460/L460)</f>
        <v/>
      </c>
      <c r="O460">
        <f>IF(M460=0, -1, K460/M460)</f>
        <v/>
      </c>
      <c r="P460">
        <f>IF(M460=0, -1, L460/M460)</f>
        <v/>
      </c>
    </row>
    <row r="461">
      <c r="A461" t="inlineStr">
        <is>
          <t>RC00546</t>
        </is>
      </c>
      <c r="B461" t="inlineStr">
        <is>
          <t>湖北民族大学</t>
        </is>
      </c>
      <c r="C461" t="n">
        <v>0</v>
      </c>
      <c r="D461" t="n">
        <v>0</v>
      </c>
      <c r="E461" t="n">
        <v>7</v>
      </c>
      <c r="F461" t="n">
        <v>28</v>
      </c>
      <c r="G461" t="n">
        <v>63791.86991827772</v>
      </c>
      <c r="H461" t="n">
        <v>179.4415331096376</v>
      </c>
      <c r="I461">
        <f>IF(H461=0, 0, G461/H461)</f>
        <v/>
      </c>
      <c r="J461">
        <f>RANK(I461, I$2:I$1111, 0)</f>
        <v/>
      </c>
      <c r="K461">
        <f>SUM(C461)</f>
        <v/>
      </c>
      <c r="L461">
        <f>SUM(K461,D461)</f>
        <v/>
      </c>
      <c r="M461">
        <f>SUM(L461,E461,F461)</f>
        <v/>
      </c>
      <c r="N461">
        <f>IF(L461=0, -1, K461/L461)</f>
        <v/>
      </c>
      <c r="O461">
        <f>IF(M461=0, -1, K461/M461)</f>
        <v/>
      </c>
      <c r="P461">
        <f>IF(M461=0, -1, L461/M461)</f>
        <v/>
      </c>
    </row>
    <row r="462">
      <c r="A462" t="inlineStr">
        <is>
          <t>RC00362</t>
        </is>
      </c>
      <c r="B462" t="inlineStr">
        <is>
          <t>淮阴工学院</t>
        </is>
      </c>
      <c r="C462" t="n">
        <v>0</v>
      </c>
      <c r="D462" t="n">
        <v>0</v>
      </c>
      <c r="E462" t="n">
        <v>12</v>
      </c>
      <c r="F462" t="n">
        <v>29</v>
      </c>
      <c r="G462" t="n">
        <v>77132.46521319746</v>
      </c>
      <c r="H462" t="n">
        <v>214.7177203788432</v>
      </c>
      <c r="I462">
        <f>IF(H462=0, 0, G462/H462)</f>
        <v/>
      </c>
      <c r="J462">
        <f>RANK(I462, I$2:I$1111, 0)</f>
        <v/>
      </c>
      <c r="K462">
        <f>SUM(C462)</f>
        <v/>
      </c>
      <c r="L462">
        <f>SUM(K462,D462)</f>
        <v/>
      </c>
      <c r="M462">
        <f>SUM(L462,E462,F462)</f>
        <v/>
      </c>
      <c r="N462">
        <f>IF(L462=0, -1, K462/L462)</f>
        <v/>
      </c>
      <c r="O462">
        <f>IF(M462=0, -1, K462/M462)</f>
        <v/>
      </c>
      <c r="P462">
        <f>IF(M462=0, -1, L462/M462)</f>
        <v/>
      </c>
    </row>
    <row r="463">
      <c r="A463" t="inlineStr">
        <is>
          <t>RC00676</t>
        </is>
      </c>
      <c r="B463" t="inlineStr">
        <is>
          <t>乐山师范学院</t>
        </is>
      </c>
      <c r="C463" t="n">
        <v>0</v>
      </c>
      <c r="D463" t="n">
        <v>0</v>
      </c>
      <c r="E463" t="n">
        <v>5</v>
      </c>
      <c r="F463" t="n">
        <v>15</v>
      </c>
      <c r="G463" t="n">
        <v>33798.11541706536</v>
      </c>
      <c r="H463" t="n">
        <v>98.25466910410532</v>
      </c>
      <c r="I463">
        <f>IF(H463=0, 0, G463/H463)</f>
        <v/>
      </c>
      <c r="J463">
        <f>RANK(I463, I$2:I$1111, 0)</f>
        <v/>
      </c>
      <c r="K463">
        <f>SUM(C463)</f>
        <v/>
      </c>
      <c r="L463">
        <f>SUM(K463,D463)</f>
        <v/>
      </c>
      <c r="M463">
        <f>SUM(L463,E463,F463)</f>
        <v/>
      </c>
      <c r="N463">
        <f>IF(L463=0, -1, K463/L463)</f>
        <v/>
      </c>
      <c r="O463">
        <f>IF(M463=0, -1, K463/M463)</f>
        <v/>
      </c>
      <c r="P463">
        <f>IF(M463=0, -1, L463/M463)</f>
        <v/>
      </c>
    </row>
    <row r="464">
      <c r="A464" t="inlineStr">
        <is>
          <t>RC00706</t>
        </is>
      </c>
      <c r="B464" t="inlineStr">
        <is>
          <t>西南林业大学</t>
        </is>
      </c>
      <c r="C464" t="n">
        <v>1</v>
      </c>
      <c r="D464" t="n">
        <v>1</v>
      </c>
      <c r="E464" t="n">
        <v>7</v>
      </c>
      <c r="F464" t="n">
        <v>36</v>
      </c>
      <c r="G464" t="n">
        <v>73417.62606661092</v>
      </c>
      <c r="H464" t="n">
        <v>203.442635722134</v>
      </c>
      <c r="I464">
        <f>IF(H464=0, 0, G464/H464)</f>
        <v/>
      </c>
      <c r="J464">
        <f>RANK(I464, I$2:I$1111, 0)</f>
        <v/>
      </c>
      <c r="K464">
        <f>SUM(C464)</f>
        <v/>
      </c>
      <c r="L464">
        <f>SUM(K464,D464)</f>
        <v/>
      </c>
      <c r="M464">
        <f>SUM(L464,E464,F464)</f>
        <v/>
      </c>
      <c r="N464">
        <f>IF(L464=0, -1, K464/L464)</f>
        <v/>
      </c>
      <c r="O464">
        <f>IF(M464=0, -1, K464/M464)</f>
        <v/>
      </c>
      <c r="P464">
        <f>IF(M464=0, -1, L464/M464)</f>
        <v/>
      </c>
    </row>
    <row r="465">
      <c r="A465" t="inlineStr">
        <is>
          <t>RC01060</t>
        </is>
      </c>
      <c r="B465" t="inlineStr">
        <is>
          <t>湖州学院</t>
        </is>
      </c>
      <c r="C465" t="n">
        <v>0</v>
      </c>
      <c r="D465" t="n">
        <v>0</v>
      </c>
      <c r="E465" t="n">
        <v>3</v>
      </c>
      <c r="F465" t="n">
        <v>9</v>
      </c>
      <c r="G465" t="n">
        <v>21028.33456077632</v>
      </c>
      <c r="H465" t="n">
        <v>57.91083960314792</v>
      </c>
      <c r="I465">
        <f>IF(H465=0, 0, G465/H465)</f>
        <v/>
      </c>
      <c r="J465">
        <f>RANK(I465, I$2:I$1111, 0)</f>
        <v/>
      </c>
      <c r="K465">
        <f>SUM(C465)</f>
        <v/>
      </c>
      <c r="L465">
        <f>SUM(K465,D465)</f>
        <v/>
      </c>
      <c r="M465">
        <f>SUM(L465,E465,F465)</f>
        <v/>
      </c>
      <c r="N465">
        <f>IF(L465=0, -1, K465/L465)</f>
        <v/>
      </c>
      <c r="O465">
        <f>IF(M465=0, -1, K465/M465)</f>
        <v/>
      </c>
      <c r="P465">
        <f>IF(M465=0, -1, L465/M465)</f>
        <v/>
      </c>
    </row>
    <row r="466">
      <c r="A466" t="inlineStr">
        <is>
          <t>RC00187</t>
        </is>
      </c>
      <c r="B466" t="inlineStr">
        <is>
          <t>河北北方学院</t>
        </is>
      </c>
      <c r="C466" t="n">
        <v>0</v>
      </c>
      <c r="D466" t="n">
        <v>0</v>
      </c>
      <c r="E466" t="n">
        <v>1</v>
      </c>
      <c r="F466" t="n">
        <v>10</v>
      </c>
      <c r="G466" t="n">
        <v>18462.34414609123</v>
      </c>
      <c r="H466" t="n">
        <v>54.00799492086619</v>
      </c>
      <c r="I466">
        <f>IF(H466=0, 0, G466/H466)</f>
        <v/>
      </c>
      <c r="J466">
        <f>RANK(I466, I$2:I$1111, 0)</f>
        <v/>
      </c>
      <c r="K466">
        <f>SUM(C466)</f>
        <v/>
      </c>
      <c r="L466">
        <f>SUM(K466,D466)</f>
        <v/>
      </c>
      <c r="M466">
        <f>SUM(L466,E466,F466)</f>
        <v/>
      </c>
      <c r="N466">
        <f>IF(L466=0, -1, K466/L466)</f>
        <v/>
      </c>
      <c r="O466">
        <f>IF(M466=0, -1, K466/M466)</f>
        <v/>
      </c>
      <c r="P466">
        <f>IF(M466=0, -1, L466/M466)</f>
        <v/>
      </c>
    </row>
    <row r="467">
      <c r="A467" t="inlineStr">
        <is>
          <t>RC00371</t>
        </is>
      </c>
      <c r="B467" t="inlineStr">
        <is>
          <t>徐州工程学院</t>
        </is>
      </c>
      <c r="C467" t="n">
        <v>0</v>
      </c>
      <c r="D467" t="n">
        <v>0</v>
      </c>
      <c r="E467" t="n">
        <v>6</v>
      </c>
      <c r="F467" t="n">
        <v>30</v>
      </c>
      <c r="G467" t="n">
        <v>61165.71599481773</v>
      </c>
      <c r="H467" t="n">
        <v>187.0043714521883</v>
      </c>
      <c r="I467">
        <f>IF(H467=0, 0, G467/H467)</f>
        <v/>
      </c>
      <c r="J467">
        <f>RANK(I467, I$2:I$1111, 0)</f>
        <v/>
      </c>
      <c r="K467">
        <f>SUM(C467)</f>
        <v/>
      </c>
      <c r="L467">
        <f>SUM(K467,D467)</f>
        <v/>
      </c>
      <c r="M467">
        <f>SUM(L467,E467,F467)</f>
        <v/>
      </c>
      <c r="N467">
        <f>IF(L467=0, -1, K467/L467)</f>
        <v/>
      </c>
      <c r="O467">
        <f>IF(M467=0, -1, K467/M467)</f>
        <v/>
      </c>
      <c r="P467">
        <f>IF(M467=0, -1, L467/M467)</f>
        <v/>
      </c>
    </row>
    <row r="468">
      <c r="A468" t="inlineStr">
        <is>
          <t>RC00499</t>
        </is>
      </c>
      <c r="B468" t="inlineStr">
        <is>
          <t>齐鲁师范学院</t>
        </is>
      </c>
      <c r="C468" t="n">
        <v>0</v>
      </c>
      <c r="D468" t="n">
        <v>0</v>
      </c>
      <c r="E468" t="n">
        <v>2</v>
      </c>
      <c r="F468" t="n">
        <v>13</v>
      </c>
      <c r="G468" t="n">
        <v>25067.09806615497</v>
      </c>
      <c r="H468" t="n">
        <v>71.5643165307538</v>
      </c>
      <c r="I468">
        <f>IF(H468=0, 0, G468/H468)</f>
        <v/>
      </c>
      <c r="J468">
        <f>RANK(I468, I$2:I$1111, 0)</f>
        <v/>
      </c>
      <c r="K468">
        <f>SUM(C468)</f>
        <v/>
      </c>
      <c r="L468">
        <f>SUM(K468,D468)</f>
        <v/>
      </c>
      <c r="M468">
        <f>SUM(L468,E468,F468)</f>
        <v/>
      </c>
      <c r="N468">
        <f>IF(L468=0, -1, K468/L468)</f>
        <v/>
      </c>
      <c r="O468">
        <f>IF(M468=0, -1, K468/M468)</f>
        <v/>
      </c>
      <c r="P468">
        <f>IF(M468=0, -1, L468/M468)</f>
        <v/>
      </c>
    </row>
    <row r="469">
      <c r="A469" t="inlineStr">
        <is>
          <t>RC00694</t>
        </is>
      </c>
      <c r="B469" t="inlineStr">
        <is>
          <t>兴义民族师范学院</t>
        </is>
      </c>
      <c r="C469" t="n">
        <v>0</v>
      </c>
      <c r="D469" t="n">
        <v>0</v>
      </c>
      <c r="E469" t="n">
        <v>2</v>
      </c>
      <c r="F469" t="n">
        <v>9</v>
      </c>
      <c r="G469" t="n">
        <v>16441.90072935441</v>
      </c>
      <c r="H469" t="n">
        <v>45.98947609688507</v>
      </c>
      <c r="I469">
        <f>IF(H469=0, 0, G469/H469)</f>
        <v/>
      </c>
      <c r="J469">
        <f>RANK(I469, I$2:I$1111, 0)</f>
        <v/>
      </c>
      <c r="K469">
        <f>SUM(C469)</f>
        <v/>
      </c>
      <c r="L469">
        <f>SUM(K469,D469)</f>
        <v/>
      </c>
      <c r="M469">
        <f>SUM(L469,E469,F469)</f>
        <v/>
      </c>
      <c r="N469">
        <f>IF(L469=0, -1, K469/L469)</f>
        <v/>
      </c>
      <c r="O469">
        <f>IF(M469=0, -1, K469/M469)</f>
        <v/>
      </c>
      <c r="P469">
        <f>IF(M469=0, -1, L469/M469)</f>
        <v/>
      </c>
    </row>
    <row r="470">
      <c r="A470" t="inlineStr">
        <is>
          <t>RC00191</t>
        </is>
      </c>
      <c r="B470" t="inlineStr">
        <is>
          <t>河北民族师范学院</t>
        </is>
      </c>
      <c r="C470" t="n">
        <v>0</v>
      </c>
      <c r="D470" t="n">
        <v>0</v>
      </c>
      <c r="E470" t="n">
        <v>1</v>
      </c>
      <c r="F470" t="n">
        <v>14</v>
      </c>
      <c r="G470" t="n">
        <v>25221.19376829785</v>
      </c>
      <c r="H470" t="n">
        <v>77.95645431687932</v>
      </c>
      <c r="I470">
        <f>IF(H470=0, 0, G470/H470)</f>
        <v/>
      </c>
      <c r="J470">
        <f>RANK(I470, I$2:I$1111, 0)</f>
        <v/>
      </c>
      <c r="K470">
        <f>SUM(C470)</f>
        <v/>
      </c>
      <c r="L470">
        <f>SUM(K470,D470)</f>
        <v/>
      </c>
      <c r="M470">
        <f>SUM(L470,E470,F470)</f>
        <v/>
      </c>
      <c r="N470">
        <f>IF(L470=0, -1, K470/L470)</f>
        <v/>
      </c>
      <c r="O470">
        <f>IF(M470=0, -1, K470/M470)</f>
        <v/>
      </c>
      <c r="P470">
        <f>IF(M470=0, -1, L470/M470)</f>
        <v/>
      </c>
    </row>
    <row r="471">
      <c r="A471" t="inlineStr">
        <is>
          <t>RC00746</t>
        </is>
      </c>
      <c r="B471" t="inlineStr">
        <is>
          <t>西安文理学院</t>
        </is>
      </c>
      <c r="C471" t="n">
        <v>0</v>
      </c>
      <c r="D471" t="n">
        <v>0</v>
      </c>
      <c r="E471" t="n">
        <v>4</v>
      </c>
      <c r="F471" t="n">
        <v>14</v>
      </c>
      <c r="G471" t="n">
        <v>32762.77355245162</v>
      </c>
      <c r="H471" t="n">
        <v>92.48771491787723</v>
      </c>
      <c r="I471">
        <f>IF(H471=0, 0, G471/H471)</f>
        <v/>
      </c>
      <c r="J471">
        <f>RANK(I471, I$2:I$1111, 0)</f>
        <v/>
      </c>
      <c r="K471">
        <f>SUM(C471)</f>
        <v/>
      </c>
      <c r="L471">
        <f>SUM(K471,D471)</f>
        <v/>
      </c>
      <c r="M471">
        <f>SUM(L471,E471,F471)</f>
        <v/>
      </c>
      <c r="N471">
        <f>IF(L471=0, -1, K471/L471)</f>
        <v/>
      </c>
      <c r="O471">
        <f>IF(M471=0, -1, K471/M471)</f>
        <v/>
      </c>
      <c r="P471">
        <f>IF(M471=0, -1, L471/M471)</f>
        <v/>
      </c>
    </row>
    <row r="472">
      <c r="A472" t="inlineStr">
        <is>
          <t>RC00424</t>
        </is>
      </c>
      <c r="B472" t="inlineStr">
        <is>
          <t>合肥师范学院</t>
        </is>
      </c>
      <c r="C472" t="n">
        <v>0</v>
      </c>
      <c r="D472" t="n">
        <v>0</v>
      </c>
      <c r="E472" t="n">
        <v>12</v>
      </c>
      <c r="F472" t="n">
        <v>23</v>
      </c>
      <c r="G472" t="n">
        <v>66121.69849830435</v>
      </c>
      <c r="H472" t="n">
        <v>183.4953494705165</v>
      </c>
      <c r="I472">
        <f>IF(H472=0, 0, G472/H472)</f>
        <v/>
      </c>
      <c r="J472">
        <f>RANK(I472, I$2:I$1111, 0)</f>
        <v/>
      </c>
      <c r="K472">
        <f>SUM(C472)</f>
        <v/>
      </c>
      <c r="L472">
        <f>SUM(K472,D472)</f>
        <v/>
      </c>
      <c r="M472">
        <f>SUM(L472,E472,F472)</f>
        <v/>
      </c>
      <c r="N472">
        <f>IF(L472=0, -1, K472/L472)</f>
        <v/>
      </c>
      <c r="O472">
        <f>IF(M472=0, -1, K472/M472)</f>
        <v/>
      </c>
      <c r="P472">
        <f>IF(M472=0, -1, L472/M472)</f>
        <v/>
      </c>
    </row>
    <row r="473">
      <c r="A473" t="inlineStr">
        <is>
          <t>RC00485</t>
        </is>
      </c>
      <c r="B473" t="inlineStr">
        <is>
          <t>济宁学院</t>
        </is>
      </c>
      <c r="C473" t="n">
        <v>0</v>
      </c>
      <c r="D473" t="n">
        <v>0</v>
      </c>
      <c r="E473" t="n">
        <v>1</v>
      </c>
      <c r="F473" t="n">
        <v>6</v>
      </c>
      <c r="G473" t="n">
        <v>9746.676490336793</v>
      </c>
      <c r="H473" t="n">
        <v>25.65170473945596</v>
      </c>
      <c r="I473">
        <f>IF(H473=0, 0, G473/H473)</f>
        <v/>
      </c>
      <c r="J473">
        <f>RANK(I473, I$2:I$1111, 0)</f>
        <v/>
      </c>
      <c r="K473">
        <f>SUM(C473)</f>
        <v/>
      </c>
      <c r="L473">
        <f>SUM(K473,D473)</f>
        <v/>
      </c>
      <c r="M473">
        <f>SUM(L473,E473,F473)</f>
        <v/>
      </c>
      <c r="N473">
        <f>IF(L473=0, -1, K473/L473)</f>
        <v/>
      </c>
      <c r="O473">
        <f>IF(M473=0, -1, K473/M473)</f>
        <v/>
      </c>
      <c r="P473">
        <f>IF(M473=0, -1, L473/M473)</f>
        <v/>
      </c>
    </row>
    <row r="474">
      <c r="A474" t="inlineStr">
        <is>
          <t>RC00397</t>
        </is>
      </c>
      <c r="B474" t="inlineStr">
        <is>
          <t>衢州学院</t>
        </is>
      </c>
      <c r="C474" t="n">
        <v>0</v>
      </c>
      <c r="D474" t="n">
        <v>0</v>
      </c>
      <c r="E474" t="n">
        <v>6</v>
      </c>
      <c r="F474" t="n">
        <v>16</v>
      </c>
      <c r="G474" t="n">
        <v>39124.04034358589</v>
      </c>
      <c r="H474" t="n">
        <v>115.9285907381603</v>
      </c>
      <c r="I474">
        <f>IF(H474=0, 0, G474/H474)</f>
        <v/>
      </c>
      <c r="J474">
        <f>RANK(I474, I$2:I$1111, 0)</f>
        <v/>
      </c>
      <c r="K474">
        <f>SUM(C474)</f>
        <v/>
      </c>
      <c r="L474">
        <f>SUM(K474,D474)</f>
        <v/>
      </c>
      <c r="M474">
        <f>SUM(L474,E474,F474)</f>
        <v/>
      </c>
      <c r="N474">
        <f>IF(L474=0, -1, K474/L474)</f>
        <v/>
      </c>
      <c r="O474">
        <f>IF(M474=0, -1, K474/M474)</f>
        <v/>
      </c>
      <c r="P474">
        <f>IF(M474=0, -1, L474/M474)</f>
        <v/>
      </c>
    </row>
    <row r="475">
      <c r="A475" t="inlineStr">
        <is>
          <t>RC00800</t>
        </is>
      </c>
      <c r="B475" t="inlineStr">
        <is>
          <t>滇西科技师范学院</t>
        </is>
      </c>
      <c r="C475" t="n">
        <v>0</v>
      </c>
      <c r="D475" t="n">
        <v>0</v>
      </c>
      <c r="E475" t="n">
        <v>1</v>
      </c>
      <c r="F475" t="n">
        <v>9</v>
      </c>
      <c r="G475" t="n">
        <v>13961.96851086439</v>
      </c>
      <c r="H475" t="n">
        <v>43.74733310482974</v>
      </c>
      <c r="I475">
        <f>IF(H475=0, 0, G475/H475)</f>
        <v/>
      </c>
      <c r="J475">
        <f>RANK(I475, I$2:I$1111, 0)</f>
        <v/>
      </c>
      <c r="K475">
        <f>SUM(C475)</f>
        <v/>
      </c>
      <c r="L475">
        <f>SUM(K475,D475)</f>
        <v/>
      </c>
      <c r="M475">
        <f>SUM(L475,E475,F475)</f>
        <v/>
      </c>
      <c r="N475">
        <f>IF(L475=0, -1, K475/L475)</f>
        <v/>
      </c>
      <c r="O475">
        <f>IF(M475=0, -1, K475/M475)</f>
        <v/>
      </c>
      <c r="P475">
        <f>IF(M475=0, -1, L475/M475)</f>
        <v/>
      </c>
    </row>
    <row r="476">
      <c r="A476" t="inlineStr">
        <is>
          <t>RC01041</t>
        </is>
      </c>
      <c r="B476" t="inlineStr">
        <is>
          <t>江苏师范大学科文学院</t>
        </is>
      </c>
      <c r="C476" t="n">
        <v>0</v>
      </c>
      <c r="D476" t="n">
        <v>0</v>
      </c>
      <c r="E476" t="n">
        <v>2</v>
      </c>
      <c r="F476" t="n">
        <v>1</v>
      </c>
      <c r="G476" t="n">
        <v>5117.9462995014</v>
      </c>
      <c r="H476" t="n">
        <v>13.36737800353671</v>
      </c>
      <c r="I476">
        <f>IF(H476=0, 0, G476/H476)</f>
        <v/>
      </c>
      <c r="J476">
        <f>RANK(I476, I$2:I$1111, 0)</f>
        <v/>
      </c>
      <c r="K476">
        <f>SUM(C476)</f>
        <v/>
      </c>
      <c r="L476">
        <f>SUM(K476,D476)</f>
        <v/>
      </c>
      <c r="M476">
        <f>SUM(L476,E476,F476)</f>
        <v/>
      </c>
      <c r="N476">
        <f>IF(L476=0, -1, K476/L476)</f>
        <v/>
      </c>
      <c r="O476">
        <f>IF(M476=0, -1, K476/M476)</f>
        <v/>
      </c>
      <c r="P476">
        <f>IF(M476=0, -1, L476/M476)</f>
        <v/>
      </c>
    </row>
    <row r="477">
      <c r="A477" t="inlineStr">
        <is>
          <t>RC00827</t>
        </is>
      </c>
      <c r="B477" t="inlineStr">
        <is>
          <t>山西工商学院</t>
        </is>
      </c>
      <c r="C477" t="n">
        <v>0</v>
      </c>
      <c r="D477" t="n">
        <v>0</v>
      </c>
      <c r="E477" t="n">
        <v>2</v>
      </c>
      <c r="F477" t="n">
        <v>4</v>
      </c>
      <c r="G477" t="n">
        <v>8721.24678740829</v>
      </c>
      <c r="H477" t="n">
        <v>24.93607773397215</v>
      </c>
      <c r="I477">
        <f>IF(H477=0, 0, G477/H477)</f>
        <v/>
      </c>
      <c r="J477">
        <f>RANK(I477, I$2:I$1111, 0)</f>
        <v/>
      </c>
      <c r="K477">
        <f>SUM(C477)</f>
        <v/>
      </c>
      <c r="L477">
        <f>SUM(K477,D477)</f>
        <v/>
      </c>
      <c r="M477">
        <f>SUM(L477,E477,F477)</f>
        <v/>
      </c>
      <c r="N477">
        <f>IF(L477=0, -1, K477/L477)</f>
        <v/>
      </c>
      <c r="O477">
        <f>IF(M477=0, -1, K477/M477)</f>
        <v/>
      </c>
      <c r="P477">
        <f>IF(M477=0, -1, L477/M477)</f>
        <v/>
      </c>
    </row>
    <row r="478">
      <c r="A478" t="inlineStr">
        <is>
          <t>RC01116</t>
        </is>
      </c>
      <c r="B478" t="inlineStr">
        <is>
          <t>郑州经贸学院</t>
        </is>
      </c>
      <c r="C478" t="n">
        <v>0</v>
      </c>
      <c r="D478" t="n">
        <v>0</v>
      </c>
      <c r="E478" t="n">
        <v>1</v>
      </c>
      <c r="F478" t="n">
        <v>6</v>
      </c>
      <c r="G478" t="n">
        <v>10249.3704542956</v>
      </c>
      <c r="H478" t="n">
        <v>27.94568936386527</v>
      </c>
      <c r="I478">
        <f>IF(H478=0, 0, G478/H478)</f>
        <v/>
      </c>
      <c r="J478">
        <f>RANK(I478, I$2:I$1111, 0)</f>
        <v/>
      </c>
      <c r="K478">
        <f>SUM(C478)</f>
        <v/>
      </c>
      <c r="L478">
        <f>SUM(K478,D478)</f>
        <v/>
      </c>
      <c r="M478">
        <f>SUM(L478,E478,F478)</f>
        <v/>
      </c>
      <c r="N478">
        <f>IF(L478=0, -1, K478/L478)</f>
        <v/>
      </c>
      <c r="O478">
        <f>IF(M478=0, -1, K478/M478)</f>
        <v/>
      </c>
      <c r="P478">
        <f>IF(M478=0, -1, L478/M478)</f>
        <v/>
      </c>
    </row>
    <row r="479">
      <c r="A479" t="inlineStr">
        <is>
          <t>RC01136</t>
        </is>
      </c>
      <c r="B479" t="inlineStr">
        <is>
          <t>湖北师范大学文理学院</t>
        </is>
      </c>
      <c r="C479" t="n">
        <v>0</v>
      </c>
      <c r="D479" t="n">
        <v>0</v>
      </c>
      <c r="E479" t="n">
        <v>1</v>
      </c>
      <c r="F479" t="n">
        <v>0</v>
      </c>
      <c r="G479" t="n">
        <v>1458.604332918734</v>
      </c>
      <c r="H479" t="n">
        <v>3.555348061489414</v>
      </c>
      <c r="I479">
        <f>IF(H479=0, 0, G479/H479)</f>
        <v/>
      </c>
      <c r="J479">
        <f>RANK(I479, I$2:I$1111, 0)</f>
        <v/>
      </c>
      <c r="K479">
        <f>SUM(C479)</f>
        <v/>
      </c>
      <c r="L479">
        <f>SUM(K479,D479)</f>
        <v/>
      </c>
      <c r="M479">
        <f>SUM(L479,E479,F479)</f>
        <v/>
      </c>
      <c r="N479">
        <f>IF(L479=0, -1, K479/L479)</f>
        <v/>
      </c>
      <c r="O479">
        <f>IF(M479=0, -1, K479/M479)</f>
        <v/>
      </c>
      <c r="P479">
        <f>IF(M479=0, -1, L479/M479)</f>
        <v/>
      </c>
    </row>
    <row r="480">
      <c r="A480" t="inlineStr">
        <is>
          <t>RC01114</t>
        </is>
      </c>
      <c r="B480" t="inlineStr">
        <is>
          <t>郑州工商学院</t>
        </is>
      </c>
      <c r="C480" t="n">
        <v>0</v>
      </c>
      <c r="D480" t="n">
        <v>0</v>
      </c>
      <c r="E480" t="n">
        <v>1</v>
      </c>
      <c r="F480" t="n">
        <v>3</v>
      </c>
      <c r="G480" t="n">
        <v>4742.590007682255</v>
      </c>
      <c r="H480" t="n">
        <v>14.84839962401305</v>
      </c>
      <c r="I480">
        <f>IF(H480=0, 0, G480/H480)</f>
        <v/>
      </c>
      <c r="J480">
        <f>RANK(I480, I$2:I$1111, 0)</f>
        <v/>
      </c>
      <c r="K480">
        <f>SUM(C480)</f>
        <v/>
      </c>
      <c r="L480">
        <f>SUM(K480,D480)</f>
        <v/>
      </c>
      <c r="M480">
        <f>SUM(L480,E480,F480)</f>
        <v/>
      </c>
      <c r="N480">
        <f>IF(L480=0, -1, K480/L480)</f>
        <v/>
      </c>
      <c r="O480">
        <f>IF(M480=0, -1, K480/M480)</f>
        <v/>
      </c>
      <c r="P480">
        <f>IF(M480=0, -1, L480/M480)</f>
        <v/>
      </c>
    </row>
    <row r="481">
      <c r="A481" t="inlineStr">
        <is>
          <t>RC01063</t>
        </is>
      </c>
      <c r="B481" t="inlineStr">
        <is>
          <t>浙江工商大学杭州商学院</t>
        </is>
      </c>
      <c r="C481" t="n">
        <v>0</v>
      </c>
      <c r="D481" t="n">
        <v>0</v>
      </c>
      <c r="E481" t="n">
        <v>2</v>
      </c>
      <c r="F481" t="n">
        <v>2</v>
      </c>
      <c r="G481" t="n">
        <v>6379.825516049421</v>
      </c>
      <c r="H481" t="n">
        <v>18.73102253479631</v>
      </c>
      <c r="I481">
        <f>IF(H481=0, 0, G481/H481)</f>
        <v/>
      </c>
      <c r="J481">
        <f>RANK(I481, I$2:I$1111, 0)</f>
        <v/>
      </c>
      <c r="K481">
        <f>SUM(C481)</f>
        <v/>
      </c>
      <c r="L481">
        <f>SUM(K481,D481)</f>
        <v/>
      </c>
      <c r="M481">
        <f>SUM(L481,E481,F481)</f>
        <v/>
      </c>
      <c r="N481">
        <f>IF(L481=0, -1, K481/L481)</f>
        <v/>
      </c>
      <c r="O481">
        <f>IF(M481=0, -1, K481/M481)</f>
        <v/>
      </c>
      <c r="P481">
        <f>IF(M481=0, -1, L481/M481)</f>
        <v/>
      </c>
    </row>
    <row r="482">
      <c r="A482" t="inlineStr">
        <is>
          <t>RC00994</t>
        </is>
      </c>
      <c r="B482" t="inlineStr">
        <is>
          <t>晋中信息学院</t>
        </is>
      </c>
      <c r="C482" t="n">
        <v>0</v>
      </c>
      <c r="D482" t="n">
        <v>0</v>
      </c>
      <c r="E482" t="n">
        <v>0</v>
      </c>
      <c r="F482" t="n">
        <v>4</v>
      </c>
      <c r="G482" t="n">
        <v>4453.388995261238</v>
      </c>
      <c r="H482" t="n">
        <v>15.39832519527793</v>
      </c>
      <c r="I482">
        <f>IF(H482=0, 0, G482/H482)</f>
        <v/>
      </c>
      <c r="J482">
        <f>RANK(I482, I$2:I$1111, 0)</f>
        <v/>
      </c>
      <c r="K482">
        <f>SUM(C482)</f>
        <v/>
      </c>
      <c r="L482">
        <f>SUM(K482,D482)</f>
        <v/>
      </c>
      <c r="M482">
        <f>SUM(L482,E482,F482)</f>
        <v/>
      </c>
      <c r="N482">
        <f>IF(L482=0, -1, K482/L482)</f>
        <v/>
      </c>
      <c r="O482">
        <f>IF(M482=0, -1, K482/M482)</f>
        <v/>
      </c>
      <c r="P482">
        <f>IF(M482=0, -1, L482/M482)</f>
        <v/>
      </c>
    </row>
    <row r="483">
      <c r="A483" t="inlineStr">
        <is>
          <t>RC01172</t>
        </is>
      </c>
      <c r="B483" t="inlineStr">
        <is>
          <t>广州南方学院</t>
        </is>
      </c>
      <c r="C483" t="n">
        <v>0</v>
      </c>
      <c r="D483" t="n">
        <v>0</v>
      </c>
      <c r="E483" t="n">
        <v>0</v>
      </c>
      <c r="F483" t="n">
        <v>2</v>
      </c>
      <c r="G483" t="n">
        <v>2751.056837186095</v>
      </c>
      <c r="H483" t="n">
        <v>9.108307646411031</v>
      </c>
      <c r="I483">
        <f>IF(H483=0, 0, G483/H483)</f>
        <v/>
      </c>
      <c r="J483">
        <f>RANK(I483, I$2:I$1111, 0)</f>
        <v/>
      </c>
      <c r="K483">
        <f>SUM(C483)</f>
        <v/>
      </c>
      <c r="L483">
        <f>SUM(K483,D483)</f>
        <v/>
      </c>
      <c r="M483">
        <f>SUM(L483,E483,F483)</f>
        <v/>
      </c>
      <c r="N483">
        <f>IF(L483=0, -1, K483/L483)</f>
        <v/>
      </c>
      <c r="O483">
        <f>IF(M483=0, -1, K483/M483)</f>
        <v/>
      </c>
      <c r="P483">
        <f>IF(M483=0, -1, L483/M483)</f>
        <v/>
      </c>
    </row>
    <row r="484">
      <c r="A484" t="inlineStr">
        <is>
          <t>RC01105</t>
        </is>
      </c>
      <c r="B484" t="inlineStr">
        <is>
          <t>青岛城市学院</t>
        </is>
      </c>
      <c r="C484" t="n">
        <v>0</v>
      </c>
      <c r="D484" t="n">
        <v>0</v>
      </c>
      <c r="E484" t="n">
        <v>0</v>
      </c>
      <c r="F484" t="n">
        <v>5</v>
      </c>
      <c r="G484" t="n">
        <v>6636.290619375801</v>
      </c>
      <c r="H484" t="n">
        <v>26.00648041410271</v>
      </c>
      <c r="I484">
        <f>IF(H484=0, 0, G484/H484)</f>
        <v/>
      </c>
      <c r="J484">
        <f>RANK(I484, I$2:I$1111, 0)</f>
        <v/>
      </c>
      <c r="K484">
        <f>SUM(C484)</f>
        <v/>
      </c>
      <c r="L484">
        <f>SUM(K484,D484)</f>
        <v/>
      </c>
      <c r="M484">
        <f>SUM(L484,E484,F484)</f>
        <v/>
      </c>
      <c r="N484">
        <f>IF(L484=0, -1, K484/L484)</f>
        <v/>
      </c>
      <c r="O484">
        <f>IF(M484=0, -1, K484/M484)</f>
        <v/>
      </c>
      <c r="P484">
        <f>IF(M484=0, -1, L484/M484)</f>
        <v/>
      </c>
    </row>
    <row r="485">
      <c r="A485" t="inlineStr">
        <is>
          <t>RC01189</t>
        </is>
      </c>
      <c r="B485" t="inlineStr">
        <is>
          <t>重庆工商大学派斯学院</t>
        </is>
      </c>
      <c r="C485" t="n">
        <v>0</v>
      </c>
      <c r="D485" t="n">
        <v>0</v>
      </c>
      <c r="E485" t="n">
        <v>0</v>
      </c>
      <c r="F485" t="n">
        <v>3</v>
      </c>
      <c r="G485" t="n">
        <v>3777.599740522461</v>
      </c>
      <c r="H485" t="n">
        <v>12.1450479436924</v>
      </c>
      <c r="I485">
        <f>IF(H485=0, 0, G485/H485)</f>
        <v/>
      </c>
      <c r="J485">
        <f>RANK(I485, I$2:I$1111, 0)</f>
        <v/>
      </c>
      <c r="K485">
        <f>SUM(C485)</f>
        <v/>
      </c>
      <c r="L485">
        <f>SUM(K485,D485)</f>
        <v/>
      </c>
      <c r="M485">
        <f>SUM(L485,E485,F485)</f>
        <v/>
      </c>
      <c r="N485">
        <f>IF(L485=0, -1, K485/L485)</f>
        <v/>
      </c>
      <c r="O485">
        <f>IF(M485=0, -1, K485/M485)</f>
        <v/>
      </c>
      <c r="P485">
        <f>IF(M485=0, -1, L485/M485)</f>
        <v/>
      </c>
    </row>
    <row r="486">
      <c r="A486" t="inlineStr">
        <is>
          <t>RC01177</t>
        </is>
      </c>
      <c r="B486" t="inlineStr">
        <is>
          <t>桂林学院</t>
        </is>
      </c>
      <c r="C486" t="n">
        <v>0</v>
      </c>
      <c r="D486" t="n">
        <v>0</v>
      </c>
      <c r="E486" t="n">
        <v>0</v>
      </c>
      <c r="F486" t="n">
        <v>5</v>
      </c>
      <c r="G486" t="n">
        <v>7243.131316186229</v>
      </c>
      <c r="H486" t="n">
        <v>22.98724244213898</v>
      </c>
      <c r="I486">
        <f>IF(H486=0, 0, G486/H486)</f>
        <v/>
      </c>
      <c r="J486">
        <f>RANK(I486, I$2:I$1111, 0)</f>
        <v/>
      </c>
      <c r="K486">
        <f>SUM(C486)</f>
        <v/>
      </c>
      <c r="L486">
        <f>SUM(K486,D486)</f>
        <v/>
      </c>
      <c r="M486">
        <f>SUM(L486,E486,F486)</f>
        <v/>
      </c>
      <c r="N486">
        <f>IF(L486=0, -1, K486/L486)</f>
        <v/>
      </c>
      <c r="O486">
        <f>IF(M486=0, -1, K486/M486)</f>
        <v/>
      </c>
      <c r="P486">
        <f>IF(M486=0, -1, L486/M486)</f>
        <v/>
      </c>
    </row>
    <row r="487">
      <c r="A487" t="inlineStr">
        <is>
          <t>RC01107</t>
        </is>
      </c>
      <c r="B487" t="inlineStr">
        <is>
          <t>山东财经大学燕山学院</t>
        </is>
      </c>
      <c r="C487" t="n">
        <v>0</v>
      </c>
      <c r="D487" t="n">
        <v>0</v>
      </c>
      <c r="E487" t="n">
        <v>0</v>
      </c>
      <c r="F487" t="n">
        <v>3</v>
      </c>
      <c r="G487" t="n">
        <v>3635.40179644817</v>
      </c>
      <c r="H487" t="n">
        <v>12.05803656670277</v>
      </c>
      <c r="I487">
        <f>IF(H487=0, 0, G487/H487)</f>
        <v/>
      </c>
      <c r="J487">
        <f>RANK(I487, I$2:I$1111, 0)</f>
        <v/>
      </c>
      <c r="K487">
        <f>SUM(C487)</f>
        <v/>
      </c>
      <c r="L487">
        <f>SUM(K487,D487)</f>
        <v/>
      </c>
      <c r="M487">
        <f>SUM(L487,E487,F487)</f>
        <v/>
      </c>
      <c r="N487">
        <f>IF(L487=0, -1, K487/L487)</f>
        <v/>
      </c>
      <c r="O487">
        <f>IF(M487=0, -1, K487/M487)</f>
        <v/>
      </c>
      <c r="P487">
        <f>IF(M487=0, -1, L487/M487)</f>
        <v/>
      </c>
    </row>
    <row r="488">
      <c r="A488" t="inlineStr">
        <is>
          <t>RC01207</t>
        </is>
      </c>
      <c r="B488" t="inlineStr">
        <is>
          <t>贵州黔南经济学院</t>
        </is>
      </c>
      <c r="C488" t="n">
        <v>0</v>
      </c>
      <c r="D488" t="n">
        <v>0</v>
      </c>
      <c r="E488" t="n">
        <v>0</v>
      </c>
      <c r="F488" t="n">
        <v>1</v>
      </c>
      <c r="G488" t="n">
        <v>1301.141365160461</v>
      </c>
      <c r="H488" t="n">
        <v>3.555348061489414</v>
      </c>
      <c r="I488">
        <f>IF(H488=0, 0, G488/H488)</f>
        <v/>
      </c>
      <c r="J488">
        <f>RANK(I488, I$2:I$1111, 0)</f>
        <v/>
      </c>
      <c r="K488">
        <f>SUM(C488)</f>
        <v/>
      </c>
      <c r="L488">
        <f>SUM(K488,D488)</f>
        <v/>
      </c>
      <c r="M488">
        <f>SUM(L488,E488,F488)</f>
        <v/>
      </c>
      <c r="N488">
        <f>IF(L488=0, -1, K488/L488)</f>
        <v/>
      </c>
      <c r="O488">
        <f>IF(M488=0, -1, K488/M488)</f>
        <v/>
      </c>
      <c r="P488">
        <f>IF(M488=0, -1, L488/M488)</f>
        <v/>
      </c>
    </row>
    <row r="489">
      <c r="A489" t="inlineStr">
        <is>
          <t>RC01168</t>
        </is>
      </c>
      <c r="B489" t="inlineStr">
        <is>
          <t>广州新华学院</t>
        </is>
      </c>
      <c r="C489" t="n">
        <v>0</v>
      </c>
      <c r="D489" t="n">
        <v>0</v>
      </c>
      <c r="E489" t="n">
        <v>0</v>
      </c>
      <c r="F489" t="n">
        <v>1</v>
      </c>
      <c r="G489" t="n">
        <v>1284.566315922749</v>
      </c>
      <c r="H489" t="n">
        <v>3.555348061489414</v>
      </c>
      <c r="I489">
        <f>IF(H489=0, 0, G489/H489)</f>
        <v/>
      </c>
      <c r="J489">
        <f>RANK(I489, I$2:I$1111, 0)</f>
        <v/>
      </c>
      <c r="K489">
        <f>SUM(C489)</f>
        <v/>
      </c>
      <c r="L489">
        <f>SUM(K489,D489)</f>
        <v/>
      </c>
      <c r="M489">
        <f>SUM(L489,E489,F489)</f>
        <v/>
      </c>
      <c r="N489">
        <f>IF(L489=0, -1, K489/L489)</f>
        <v/>
      </c>
      <c r="O489">
        <f>IF(M489=0, -1, K489/M489)</f>
        <v/>
      </c>
      <c r="P489">
        <f>IF(M489=0, -1, L489/M489)</f>
        <v/>
      </c>
    </row>
    <row r="490">
      <c r="A490" t="inlineStr">
        <is>
          <t>RC01190</t>
        </is>
      </c>
      <c r="B490" t="inlineStr">
        <is>
          <t>重庆移通学院</t>
        </is>
      </c>
      <c r="C490" t="n">
        <v>0</v>
      </c>
      <c r="D490" t="n">
        <v>0</v>
      </c>
      <c r="E490" t="n">
        <v>0</v>
      </c>
      <c r="F490" t="n">
        <v>5</v>
      </c>
      <c r="G490" t="n">
        <v>4454.8312914264</v>
      </c>
      <c r="H490" t="n">
        <v>13.4712581340241</v>
      </c>
      <c r="I490">
        <f>IF(H490=0, 0, G490/H490)</f>
        <v/>
      </c>
      <c r="J490">
        <f>RANK(I490, I$2:I$1111, 0)</f>
        <v/>
      </c>
      <c r="K490">
        <f>SUM(C490)</f>
        <v/>
      </c>
      <c r="L490">
        <f>SUM(K490,D490)</f>
        <v/>
      </c>
      <c r="M490">
        <f>SUM(L490,E490,F490)</f>
        <v/>
      </c>
      <c r="N490">
        <f>IF(L490=0, -1, K490/L490)</f>
        <v/>
      </c>
      <c r="O490">
        <f>IF(M490=0, -1, K490/M490)</f>
        <v/>
      </c>
      <c r="P490">
        <f>IF(M490=0, -1, L490/M490)</f>
        <v/>
      </c>
    </row>
    <row r="491">
      <c r="A491" t="inlineStr">
        <is>
          <t>RC00833</t>
        </is>
      </c>
      <c r="B491" t="inlineStr">
        <is>
          <t>大连财经学院</t>
        </is>
      </c>
      <c r="C491" t="n">
        <v>0</v>
      </c>
      <c r="D491" t="n">
        <v>0</v>
      </c>
      <c r="E491" t="n">
        <v>0</v>
      </c>
      <c r="F491" t="n">
        <v>2</v>
      </c>
      <c r="G491" t="n">
        <v>2125.403739911651</v>
      </c>
      <c r="H491" t="n">
        <v>7.293017679772782</v>
      </c>
      <c r="I491">
        <f>IF(H491=0, 0, G491/H491)</f>
        <v/>
      </c>
      <c r="J491">
        <f>RANK(I491, I$2:I$1111, 0)</f>
        <v/>
      </c>
      <c r="K491">
        <f>SUM(C491)</f>
        <v/>
      </c>
      <c r="L491">
        <f>SUM(K491,D491)</f>
        <v/>
      </c>
      <c r="M491">
        <f>SUM(L491,E491,F491)</f>
        <v/>
      </c>
      <c r="N491">
        <f>IF(L491=0, -1, K491/L491)</f>
        <v/>
      </c>
      <c r="O491">
        <f>IF(M491=0, -1, K491/M491)</f>
        <v/>
      </c>
      <c r="P491">
        <f>IF(M491=0, -1, L491/M491)</f>
        <v/>
      </c>
    </row>
    <row r="492">
      <c r="A492" t="inlineStr">
        <is>
          <t>RC01065</t>
        </is>
      </c>
      <c r="B492" t="inlineStr">
        <is>
          <t>浙江财经大学东方学院</t>
        </is>
      </c>
      <c r="C492" t="n">
        <v>0</v>
      </c>
      <c r="D492" t="n">
        <v>0</v>
      </c>
      <c r="E492" t="n">
        <v>0</v>
      </c>
      <c r="F492" t="n">
        <v>3</v>
      </c>
      <c r="G492" t="n">
        <v>3973.433338770497</v>
      </c>
      <c r="H492" t="n">
        <v>15.10724420835771</v>
      </c>
      <c r="I492">
        <f>IF(H492=0, 0, G492/H492)</f>
        <v/>
      </c>
      <c r="J492">
        <f>RANK(I492, I$2:I$1111, 0)</f>
        <v/>
      </c>
      <c r="K492">
        <f>SUM(C492)</f>
        <v/>
      </c>
      <c r="L492">
        <f>SUM(K492,D492)</f>
        <v/>
      </c>
      <c r="M492">
        <f>SUM(L492,E492,F492)</f>
        <v/>
      </c>
      <c r="N492">
        <f>IF(L492=0, -1, K492/L492)</f>
        <v/>
      </c>
      <c r="O492">
        <f>IF(M492=0, -1, K492/M492)</f>
        <v/>
      </c>
      <c r="P492">
        <f>IF(M492=0, -1, L492/M492)</f>
        <v/>
      </c>
    </row>
    <row r="493">
      <c r="A493" t="inlineStr">
        <is>
          <t>RC00996</t>
        </is>
      </c>
      <c r="B493" t="inlineStr">
        <is>
          <t>山西晋中理工学院</t>
        </is>
      </c>
      <c r="C493" t="n">
        <v>0</v>
      </c>
      <c r="D493" t="n">
        <v>0</v>
      </c>
      <c r="E493" t="n">
        <v>0</v>
      </c>
      <c r="F493" t="n">
        <v>4</v>
      </c>
      <c r="G493" t="n">
        <v>3674.815164925485</v>
      </c>
      <c r="H493" t="n">
        <v>13.6029359579993</v>
      </c>
      <c r="I493">
        <f>IF(H493=0, 0, G493/H493)</f>
        <v/>
      </c>
      <c r="J493">
        <f>RANK(I493, I$2:I$1111, 0)</f>
        <v/>
      </c>
      <c r="K493">
        <f>SUM(C493)</f>
        <v/>
      </c>
      <c r="L493">
        <f>SUM(K493,D493)</f>
        <v/>
      </c>
      <c r="M493">
        <f>SUM(L493,E493,F493)</f>
        <v/>
      </c>
      <c r="N493">
        <f>IF(L493=0, -1, K493/L493)</f>
        <v/>
      </c>
      <c r="O493">
        <f>IF(M493=0, -1, K493/M493)</f>
        <v/>
      </c>
      <c r="P493">
        <f>IF(M493=0, -1, L493/M493)</f>
        <v/>
      </c>
    </row>
    <row r="494">
      <c r="A494" t="inlineStr">
        <is>
          <t>RC00922</t>
        </is>
      </c>
      <c r="B494" t="inlineStr">
        <is>
          <t>广州商学院</t>
        </is>
      </c>
      <c r="C494" t="n">
        <v>0</v>
      </c>
      <c r="D494" t="n">
        <v>0</v>
      </c>
      <c r="E494" t="n">
        <v>0</v>
      </c>
      <c r="F494" t="n">
        <v>1</v>
      </c>
      <c r="G494" t="n">
        <v>1069.090675832481</v>
      </c>
      <c r="H494" t="n">
        <v>3.555348061489414</v>
      </c>
      <c r="I494">
        <f>IF(H494=0, 0, G494/H494)</f>
        <v/>
      </c>
      <c r="J494">
        <f>RANK(I494, I$2:I$1111, 0)</f>
        <v/>
      </c>
      <c r="K494">
        <f>SUM(C494)</f>
        <v/>
      </c>
      <c r="L494">
        <f>SUM(K494,D494)</f>
        <v/>
      </c>
      <c r="M494">
        <f>SUM(L494,E494,F494)</f>
        <v/>
      </c>
      <c r="N494">
        <f>IF(L494=0, -1, K494/L494)</f>
        <v/>
      </c>
      <c r="O494">
        <f>IF(M494=0, -1, K494/M494)</f>
        <v/>
      </c>
      <c r="P494">
        <f>IF(M494=0, -1, L494/M494)</f>
        <v/>
      </c>
    </row>
    <row r="495">
      <c r="A495" t="inlineStr">
        <is>
          <t>RC00986</t>
        </is>
      </c>
      <c r="B495" t="inlineStr">
        <is>
          <t>河北地质大学华信学院</t>
        </is>
      </c>
      <c r="C495" t="n">
        <v>0</v>
      </c>
      <c r="D495" t="n">
        <v>0</v>
      </c>
      <c r="E495" t="n">
        <v>0</v>
      </c>
      <c r="F495" t="n">
        <v>1</v>
      </c>
      <c r="G495" t="n">
        <v>1069.090675832481</v>
      </c>
      <c r="H495" t="n">
        <v>3.555348061489414</v>
      </c>
      <c r="I495">
        <f>IF(H495=0, 0, G495/H495)</f>
        <v/>
      </c>
      <c r="J495">
        <f>RANK(I495, I$2:I$1111, 0)</f>
        <v/>
      </c>
      <c r="K495">
        <f>SUM(C495)</f>
        <v/>
      </c>
      <c r="L495">
        <f>SUM(K495,D495)</f>
        <v/>
      </c>
      <c r="M495">
        <f>SUM(L495,E495,F495)</f>
        <v/>
      </c>
      <c r="N495">
        <f>IF(L495=0, -1, K495/L495)</f>
        <v/>
      </c>
      <c r="O495">
        <f>IF(M495=0, -1, K495/M495)</f>
        <v/>
      </c>
      <c r="P495">
        <f>IF(M495=0, -1, L495/M495)</f>
        <v/>
      </c>
    </row>
    <row r="496">
      <c r="A496" t="inlineStr">
        <is>
          <t>RC00100</t>
        </is>
      </c>
      <c r="B496" t="inlineStr">
        <is>
          <t>北京邮电大学</t>
        </is>
      </c>
      <c r="C496" t="n">
        <v>11</v>
      </c>
      <c r="D496" t="n">
        <v>19</v>
      </c>
      <c r="E496" t="n">
        <v>7</v>
      </c>
      <c r="F496" t="n">
        <v>2</v>
      </c>
      <c r="G496" t="n">
        <v>139600.1589871416</v>
      </c>
      <c r="H496" t="n">
        <v>182.9868943685071</v>
      </c>
      <c r="I496">
        <f>IF(H496=0, 0, G496/H496)</f>
        <v/>
      </c>
      <c r="J496">
        <f>RANK(I496, I$2:I$1111, 0)</f>
        <v/>
      </c>
      <c r="K496">
        <f>SUM(C496)</f>
        <v/>
      </c>
      <c r="L496">
        <f>SUM(K496,D496)</f>
        <v/>
      </c>
      <c r="M496">
        <f>SUM(L496,E496,F496)</f>
        <v/>
      </c>
      <c r="N496">
        <f>IF(L496=0, -1, K496/L496)</f>
        <v/>
      </c>
      <c r="O496">
        <f>IF(M496=0, -1, K496/M496)</f>
        <v/>
      </c>
      <c r="P496">
        <f>IF(M496=0, -1, L496/M496)</f>
        <v/>
      </c>
    </row>
    <row r="497">
      <c r="A497" t="inlineStr">
        <is>
          <t>RC00464</t>
        </is>
      </c>
      <c r="B497" t="inlineStr">
        <is>
          <t>青岛科技大学</t>
        </is>
      </c>
      <c r="C497" t="n">
        <v>0</v>
      </c>
      <c r="D497" t="n">
        <v>1</v>
      </c>
      <c r="E497" t="n">
        <v>43</v>
      </c>
      <c r="F497" t="n">
        <v>20</v>
      </c>
      <c r="G497" t="n">
        <v>143428.6132107138</v>
      </c>
      <c r="H497" t="n">
        <v>309.5711902063405</v>
      </c>
      <c r="I497">
        <f>IF(H497=0, 0, G497/H497)</f>
        <v/>
      </c>
      <c r="J497">
        <f>RANK(I497, I$2:I$1111, 0)</f>
        <v/>
      </c>
      <c r="K497">
        <f>SUM(C497)</f>
        <v/>
      </c>
      <c r="L497">
        <f>SUM(K497,D497)</f>
        <v/>
      </c>
      <c r="M497">
        <f>SUM(L497,E497,F497)</f>
        <v/>
      </c>
      <c r="N497">
        <f>IF(L497=0, -1, K497/L497)</f>
        <v/>
      </c>
      <c r="O497">
        <f>IF(M497=0, -1, K497/M497)</f>
        <v/>
      </c>
      <c r="P497">
        <f>IF(M497=0, -1, L497/M497)</f>
        <v/>
      </c>
    </row>
    <row r="498">
      <c r="A498" t="inlineStr">
        <is>
          <t>RC00957</t>
        </is>
      </c>
      <c r="B498" t="inlineStr">
        <is>
          <t>深圳北理莫斯科大学</t>
        </is>
      </c>
      <c r="C498" t="n">
        <v>0</v>
      </c>
      <c r="D498" t="n">
        <v>0</v>
      </c>
      <c r="E498" t="n">
        <v>3</v>
      </c>
      <c r="F498" t="n">
        <v>3</v>
      </c>
      <c r="G498" t="n">
        <v>9621.720449434371</v>
      </c>
      <c r="H498" t="n">
        <v>24.99917992325674</v>
      </c>
      <c r="I498">
        <f>IF(H498=0, 0, G498/H498)</f>
        <v/>
      </c>
      <c r="J498">
        <f>RANK(I498, I$2:I$1111, 0)</f>
        <v/>
      </c>
      <c r="K498">
        <f>SUM(C498)</f>
        <v/>
      </c>
      <c r="L498">
        <f>SUM(K498,D498)</f>
        <v/>
      </c>
      <c r="M498">
        <f>SUM(L498,E498,F498)</f>
        <v/>
      </c>
      <c r="N498">
        <f>IF(L498=0, -1, K498/L498)</f>
        <v/>
      </c>
      <c r="O498">
        <f>IF(M498=0, -1, K498/M498)</f>
        <v/>
      </c>
      <c r="P498">
        <f>IF(M498=0, -1, L498/M498)</f>
        <v/>
      </c>
    </row>
    <row r="499">
      <c r="A499" t="inlineStr">
        <is>
          <t>RC00680</t>
        </is>
      </c>
      <c r="B499" t="inlineStr">
        <is>
          <t>成都大学</t>
        </is>
      </c>
      <c r="C499" t="n">
        <v>0</v>
      </c>
      <c r="D499" t="n">
        <v>3</v>
      </c>
      <c r="E499" t="n">
        <v>45</v>
      </c>
      <c r="F499" t="n">
        <v>22</v>
      </c>
      <c r="G499" t="n">
        <v>158066.0242651871</v>
      </c>
      <c r="H499" t="n">
        <v>353.6336338389581</v>
      </c>
      <c r="I499">
        <f>IF(H499=0, 0, G499/H499)</f>
        <v/>
      </c>
      <c r="J499">
        <f>RANK(I499, I$2:I$1111, 0)</f>
        <v/>
      </c>
      <c r="K499">
        <f>SUM(C499)</f>
        <v/>
      </c>
      <c r="L499">
        <f>SUM(K499,D499)</f>
        <v/>
      </c>
      <c r="M499">
        <f>SUM(L499,E499,F499)</f>
        <v/>
      </c>
      <c r="N499">
        <f>IF(L499=0, -1, K499/L499)</f>
        <v/>
      </c>
      <c r="O499">
        <f>IF(M499=0, -1, K499/M499)</f>
        <v/>
      </c>
      <c r="P499">
        <f>IF(M499=0, -1, L499/M499)</f>
        <v/>
      </c>
    </row>
    <row r="500">
      <c r="A500" t="inlineStr">
        <is>
          <t>RC00410</t>
        </is>
      </c>
      <c r="B500" t="inlineStr">
        <is>
          <t>淮北师范大学</t>
        </is>
      </c>
      <c r="C500" t="n">
        <v>0</v>
      </c>
      <c r="D500" t="n">
        <v>0</v>
      </c>
      <c r="E500" t="n">
        <v>18</v>
      </c>
      <c r="F500" t="n">
        <v>34</v>
      </c>
      <c r="G500" t="n">
        <v>103441.0947460289</v>
      </c>
      <c r="H500" t="n">
        <v>263.2541705048274</v>
      </c>
      <c r="I500">
        <f>IF(H500=0, 0, G500/H500)</f>
        <v/>
      </c>
      <c r="J500">
        <f>RANK(I500, I$2:I$1111, 0)</f>
        <v/>
      </c>
      <c r="K500">
        <f>SUM(C500)</f>
        <v/>
      </c>
      <c r="L500">
        <f>SUM(K500,D500)</f>
        <v/>
      </c>
      <c r="M500">
        <f>SUM(L500,E500,F500)</f>
        <v/>
      </c>
      <c r="N500">
        <f>IF(L500=0, -1, K500/L500)</f>
        <v/>
      </c>
      <c r="O500">
        <f>IF(M500=0, -1, K500/M500)</f>
        <v/>
      </c>
      <c r="P500">
        <f>IF(M500=0, -1, L500/M500)</f>
        <v/>
      </c>
    </row>
    <row r="501">
      <c r="A501" t="inlineStr">
        <is>
          <t>RC00590</t>
        </is>
      </c>
      <c r="B501" t="inlineStr">
        <is>
          <t>湖南第一师范学院</t>
        </is>
      </c>
      <c r="C501" t="n">
        <v>0</v>
      </c>
      <c r="D501" t="n">
        <v>0</v>
      </c>
      <c r="E501" t="n">
        <v>7</v>
      </c>
      <c r="F501" t="n">
        <v>23</v>
      </c>
      <c r="G501" t="n">
        <v>55884.96359395146</v>
      </c>
      <c r="H501" t="n">
        <v>153.6569841661293</v>
      </c>
      <c r="I501">
        <f>IF(H501=0, 0, G501/H501)</f>
        <v/>
      </c>
      <c r="J501">
        <f>RANK(I501, I$2:I$1111, 0)</f>
        <v/>
      </c>
      <c r="K501">
        <f>SUM(C501)</f>
        <v/>
      </c>
      <c r="L501">
        <f>SUM(K501,D501)</f>
        <v/>
      </c>
      <c r="M501">
        <f>SUM(L501,E501,F501)</f>
        <v/>
      </c>
      <c r="N501">
        <f>IF(L501=0, -1, K501/L501)</f>
        <v/>
      </c>
      <c r="O501">
        <f>IF(M501=0, -1, K501/M501)</f>
        <v/>
      </c>
      <c r="P501">
        <f>IF(M501=0, -1, L501/M501)</f>
        <v/>
      </c>
    </row>
    <row r="502">
      <c r="A502" t="inlineStr">
        <is>
          <t>RC01062</t>
        </is>
      </c>
      <c r="B502" t="inlineStr">
        <is>
          <t>温州理工学院</t>
        </is>
      </c>
      <c r="C502" t="n">
        <v>0</v>
      </c>
      <c r="D502" t="n">
        <v>0</v>
      </c>
      <c r="E502" t="n">
        <v>3</v>
      </c>
      <c r="F502" t="n">
        <v>16</v>
      </c>
      <c r="G502" t="n">
        <v>31765.6255584061</v>
      </c>
      <c r="H502" t="n">
        <v>100.4042863844449</v>
      </c>
      <c r="I502">
        <f>IF(H502=0, 0, G502/H502)</f>
        <v/>
      </c>
      <c r="J502">
        <f>RANK(I502, I$2:I$1111, 0)</f>
        <v/>
      </c>
      <c r="K502">
        <f>SUM(C502)</f>
        <v/>
      </c>
      <c r="L502">
        <f>SUM(K502,D502)</f>
        <v/>
      </c>
      <c r="M502">
        <f>SUM(L502,E502,F502)</f>
        <v/>
      </c>
      <c r="N502">
        <f>IF(L502=0, -1, K502/L502)</f>
        <v/>
      </c>
      <c r="O502">
        <f>IF(M502=0, -1, K502/M502)</f>
        <v/>
      </c>
      <c r="P502">
        <f>IF(M502=0, -1, L502/M502)</f>
        <v/>
      </c>
    </row>
    <row r="503">
      <c r="A503" t="inlineStr">
        <is>
          <t>RC00483</t>
        </is>
      </c>
      <c r="B503" t="inlineStr">
        <is>
          <t>临沂大学</t>
        </is>
      </c>
      <c r="C503" t="n">
        <v>1</v>
      </c>
      <c r="D503" t="n">
        <v>0</v>
      </c>
      <c r="E503" t="n">
        <v>11</v>
      </c>
      <c r="F503" t="n">
        <v>38</v>
      </c>
      <c r="G503" t="n">
        <v>93091.60895344254</v>
      </c>
      <c r="H503" t="n">
        <v>243.9195020253442</v>
      </c>
      <c r="I503">
        <f>IF(H503=0, 0, G503/H503)</f>
        <v/>
      </c>
      <c r="J503">
        <f>RANK(I503, I$2:I$1111, 0)</f>
        <v/>
      </c>
      <c r="K503">
        <f>SUM(C503)</f>
        <v/>
      </c>
      <c r="L503">
        <f>SUM(K503,D503)</f>
        <v/>
      </c>
      <c r="M503">
        <f>SUM(L503,E503,F503)</f>
        <v/>
      </c>
      <c r="N503">
        <f>IF(L503=0, -1, K503/L503)</f>
        <v/>
      </c>
      <c r="O503">
        <f>IF(M503=0, -1, K503/M503)</f>
        <v/>
      </c>
      <c r="P503">
        <f>IF(M503=0, -1, L503/M503)</f>
        <v/>
      </c>
    </row>
    <row r="504">
      <c r="A504" t="inlineStr">
        <is>
          <t>RC00248</t>
        </is>
      </c>
      <c r="B504" t="inlineStr">
        <is>
          <t>辽宁科技大学</t>
        </is>
      </c>
      <c r="C504" t="n">
        <v>0</v>
      </c>
      <c r="D504" t="n">
        <v>0</v>
      </c>
      <c r="E504" t="n">
        <v>10</v>
      </c>
      <c r="F504" t="n">
        <v>28</v>
      </c>
      <c r="G504" t="n">
        <v>71497.7240362991</v>
      </c>
      <c r="H504" t="n">
        <v>195.9559122655697</v>
      </c>
      <c r="I504">
        <f>IF(H504=0, 0, G504/H504)</f>
        <v/>
      </c>
      <c r="J504">
        <f>RANK(I504, I$2:I$1111, 0)</f>
        <v/>
      </c>
      <c r="K504">
        <f>SUM(C504)</f>
        <v/>
      </c>
      <c r="L504">
        <f>SUM(K504,D504)</f>
        <v/>
      </c>
      <c r="M504">
        <f>SUM(L504,E504,F504)</f>
        <v/>
      </c>
      <c r="N504">
        <f>IF(L504=0, -1, K504/L504)</f>
        <v/>
      </c>
      <c r="O504">
        <f>IF(M504=0, -1, K504/M504)</f>
        <v/>
      </c>
      <c r="P504">
        <f>IF(M504=0, -1, L504/M504)</f>
        <v/>
      </c>
    </row>
    <row r="505">
      <c r="A505" t="inlineStr">
        <is>
          <t>RC00510</t>
        </is>
      </c>
      <c r="B505" t="inlineStr">
        <is>
          <t>河南科技学院</t>
        </is>
      </c>
      <c r="C505" t="n">
        <v>0</v>
      </c>
      <c r="D505" t="n">
        <v>0</v>
      </c>
      <c r="E505" t="n">
        <v>3</v>
      </c>
      <c r="F505" t="n">
        <v>33</v>
      </c>
      <c r="G505" t="n">
        <v>54237.54483224326</v>
      </c>
      <c r="H505" t="n">
        <v>173.8753471235882</v>
      </c>
      <c r="I505">
        <f>IF(H505=0, 0, G505/H505)</f>
        <v/>
      </c>
      <c r="J505">
        <f>RANK(I505, I$2:I$1111, 0)</f>
        <v/>
      </c>
      <c r="K505">
        <f>SUM(C505)</f>
        <v/>
      </c>
      <c r="L505">
        <f>SUM(K505,D505)</f>
        <v/>
      </c>
      <c r="M505">
        <f>SUM(L505,E505,F505)</f>
        <v/>
      </c>
      <c r="N505">
        <f>IF(L505=0, -1, K505/L505)</f>
        <v/>
      </c>
      <c r="O505">
        <f>IF(M505=0, -1, K505/M505)</f>
        <v/>
      </c>
      <c r="P505">
        <f>IF(M505=0, -1, L505/M505)</f>
        <v/>
      </c>
    </row>
    <row r="506">
      <c r="A506" t="inlineStr">
        <is>
          <t>RC00703</t>
        </is>
      </c>
      <c r="B506" t="inlineStr">
        <is>
          <t>贵州师范学院</t>
        </is>
      </c>
      <c r="C506" t="n">
        <v>0</v>
      </c>
      <c r="D506" t="n">
        <v>0</v>
      </c>
      <c r="E506" t="n">
        <v>4</v>
      </c>
      <c r="F506" t="n">
        <v>20</v>
      </c>
      <c r="G506" t="n">
        <v>42333.82969467939</v>
      </c>
      <c r="H506" t="n">
        <v>121.4239141576847</v>
      </c>
      <c r="I506">
        <f>IF(H506=0, 0, G506/H506)</f>
        <v/>
      </c>
      <c r="J506">
        <f>RANK(I506, I$2:I$1111, 0)</f>
        <v/>
      </c>
      <c r="K506">
        <f>SUM(C506)</f>
        <v/>
      </c>
      <c r="L506">
        <f>SUM(K506,D506)</f>
        <v/>
      </c>
      <c r="M506">
        <f>SUM(L506,E506,F506)</f>
        <v/>
      </c>
      <c r="N506">
        <f>IF(L506=0, -1, K506/L506)</f>
        <v/>
      </c>
      <c r="O506">
        <f>IF(M506=0, -1, K506/M506)</f>
        <v/>
      </c>
      <c r="P506">
        <f>IF(M506=0, -1, L506/M506)</f>
        <v/>
      </c>
    </row>
    <row r="507">
      <c r="A507" t="inlineStr">
        <is>
          <t>RC00840</t>
        </is>
      </c>
      <c r="B507" t="inlineStr">
        <is>
          <t>吉林外国语大学</t>
        </is>
      </c>
      <c r="C507" t="n">
        <v>0</v>
      </c>
      <c r="D507" t="n">
        <v>0</v>
      </c>
      <c r="E507" t="n">
        <v>3</v>
      </c>
      <c r="F507" t="n">
        <v>18</v>
      </c>
      <c r="G507" t="n">
        <v>35877.8907761625</v>
      </c>
      <c r="H507" t="n">
        <v>101.3760218679713</v>
      </c>
      <c r="I507">
        <f>IF(H507=0, 0, G507/H507)</f>
        <v/>
      </c>
      <c r="J507">
        <f>RANK(I507, I$2:I$1111, 0)</f>
        <v/>
      </c>
      <c r="K507">
        <f>SUM(C507)</f>
        <v/>
      </c>
      <c r="L507">
        <f>SUM(K507,D507)</f>
        <v/>
      </c>
      <c r="M507">
        <f>SUM(L507,E507,F507)</f>
        <v/>
      </c>
      <c r="N507">
        <f>IF(L507=0, -1, K507/L507)</f>
        <v/>
      </c>
      <c r="O507">
        <f>IF(M507=0, -1, K507/M507)</f>
        <v/>
      </c>
      <c r="P507">
        <f>IF(M507=0, -1, L507/M507)</f>
        <v/>
      </c>
    </row>
    <row r="508">
      <c r="A508" t="inlineStr">
        <is>
          <t>RC01026</t>
        </is>
      </c>
      <c r="B508" t="inlineStr">
        <is>
          <t>南京理工大学紫金学院</t>
        </is>
      </c>
      <c r="C508" t="n">
        <v>0</v>
      </c>
      <c r="D508" t="n">
        <v>0</v>
      </c>
      <c r="E508" t="n">
        <v>0</v>
      </c>
      <c r="F508" t="n">
        <v>4</v>
      </c>
      <c r="G508" t="n">
        <v>4590.738506812544</v>
      </c>
      <c r="H508" t="n">
        <v>18.56121358910561</v>
      </c>
      <c r="I508">
        <f>IF(H508=0, 0, G508/H508)</f>
        <v/>
      </c>
      <c r="J508">
        <f>RANK(I508, I$2:I$1111, 0)</f>
        <v/>
      </c>
      <c r="K508">
        <f>SUM(C508)</f>
        <v/>
      </c>
      <c r="L508">
        <f>SUM(K508,D508)</f>
        <v/>
      </c>
      <c r="M508">
        <f>SUM(L508,E508,F508)</f>
        <v/>
      </c>
      <c r="N508">
        <f>IF(L508=0, -1, K508/L508)</f>
        <v/>
      </c>
      <c r="O508">
        <f>IF(M508=0, -1, K508/M508)</f>
        <v/>
      </c>
      <c r="P508">
        <f>IF(M508=0, -1, L508/M508)</f>
        <v/>
      </c>
    </row>
    <row r="509">
      <c r="A509" t="inlineStr">
        <is>
          <t>RC00932</t>
        </is>
      </c>
      <c r="B509" t="inlineStr">
        <is>
          <t>三亚学院</t>
        </is>
      </c>
      <c r="C509" t="n">
        <v>0</v>
      </c>
      <c r="D509" t="n">
        <v>0</v>
      </c>
      <c r="E509" t="n">
        <v>2</v>
      </c>
      <c r="F509" t="n">
        <v>7</v>
      </c>
      <c r="G509" t="n">
        <v>13725.09483220733</v>
      </c>
      <c r="H509" t="n">
        <v>44.0932589281357</v>
      </c>
      <c r="I509">
        <f>IF(H509=0, 0, G509/H509)</f>
        <v/>
      </c>
      <c r="J509">
        <f>RANK(I509, I$2:I$1111, 0)</f>
        <v/>
      </c>
      <c r="K509">
        <f>SUM(C509)</f>
        <v/>
      </c>
      <c r="L509">
        <f>SUM(K509,D509)</f>
        <v/>
      </c>
      <c r="M509">
        <f>SUM(L509,E509,F509)</f>
        <v/>
      </c>
      <c r="N509">
        <f>IF(L509=0, -1, K509/L509)</f>
        <v/>
      </c>
      <c r="O509">
        <f>IF(M509=0, -1, K509/M509)</f>
        <v/>
      </c>
      <c r="P509">
        <f>IF(M509=0, -1, L509/M509)</f>
        <v/>
      </c>
    </row>
    <row r="510">
      <c r="A510" t="inlineStr">
        <is>
          <t>RC00817</t>
        </is>
      </c>
      <c r="B510" t="inlineStr">
        <is>
          <t>北京城市学院</t>
        </is>
      </c>
      <c r="C510" t="n">
        <v>0</v>
      </c>
      <c r="D510" t="n">
        <v>0</v>
      </c>
      <c r="E510" t="n">
        <v>2</v>
      </c>
      <c r="F510" t="n">
        <v>20</v>
      </c>
      <c r="G510" t="n">
        <v>33680.74342468946</v>
      </c>
      <c r="H510" t="n">
        <v>106.0549313000963</v>
      </c>
      <c r="I510">
        <f>IF(H510=0, 0, G510/H510)</f>
        <v/>
      </c>
      <c r="J510">
        <f>RANK(I510, I$2:I$1111, 0)</f>
        <v/>
      </c>
      <c r="K510">
        <f>SUM(C510)</f>
        <v/>
      </c>
      <c r="L510">
        <f>SUM(K510,D510)</f>
        <v/>
      </c>
      <c r="M510">
        <f>SUM(L510,E510,F510)</f>
        <v/>
      </c>
      <c r="N510">
        <f>IF(L510=0, -1, K510/L510)</f>
        <v/>
      </c>
      <c r="O510">
        <f>IF(M510=0, -1, K510/M510)</f>
        <v/>
      </c>
      <c r="P510">
        <f>IF(M510=0, -1, L510/M510)</f>
        <v/>
      </c>
    </row>
    <row r="511">
      <c r="A511" t="inlineStr">
        <is>
          <t>RC01122</t>
        </is>
      </c>
      <c r="B511" t="inlineStr">
        <is>
          <t>武昌首义学院</t>
        </is>
      </c>
      <c r="C511" t="n">
        <v>0</v>
      </c>
      <c r="D511" t="n">
        <v>0</v>
      </c>
      <c r="E511" t="n">
        <v>0</v>
      </c>
      <c r="F511" t="n">
        <v>7</v>
      </c>
      <c r="G511" t="n">
        <v>10624.06331410715</v>
      </c>
      <c r="H511" t="n">
        <v>37.0766636839961</v>
      </c>
      <c r="I511">
        <f>IF(H511=0, 0, G511/H511)</f>
        <v/>
      </c>
      <c r="J511">
        <f>RANK(I511, I$2:I$1111, 0)</f>
        <v/>
      </c>
      <c r="K511">
        <f>SUM(C511)</f>
        <v/>
      </c>
      <c r="L511">
        <f>SUM(K511,D511)</f>
        <v/>
      </c>
      <c r="M511">
        <f>SUM(L511,E511,F511)</f>
        <v/>
      </c>
      <c r="N511">
        <f>IF(L511=0, -1, K511/L511)</f>
        <v/>
      </c>
      <c r="O511">
        <f>IF(M511=0, -1, K511/M511)</f>
        <v/>
      </c>
      <c r="P511">
        <f>IF(M511=0, -1, L511/M511)</f>
        <v/>
      </c>
    </row>
    <row r="512">
      <c r="A512" t="inlineStr">
        <is>
          <t>RC00034</t>
        </is>
      </c>
      <c r="B512" t="inlineStr">
        <is>
          <t>西北工业大学</t>
        </is>
      </c>
      <c r="C512" t="n">
        <v>26</v>
      </c>
      <c r="D512" t="n">
        <v>24</v>
      </c>
      <c r="E512" t="n">
        <v>11</v>
      </c>
      <c r="F512" t="n">
        <v>1</v>
      </c>
      <c r="G512" t="n">
        <v>219335.0179263385</v>
      </c>
      <c r="H512" t="n">
        <v>271.6354719094226</v>
      </c>
      <c r="I512">
        <f>IF(H512=0, 0, G512/H512)</f>
        <v/>
      </c>
      <c r="J512">
        <f>RANK(I512, I$2:I$1111, 0)</f>
        <v/>
      </c>
      <c r="K512">
        <f>SUM(C512)</f>
        <v/>
      </c>
      <c r="L512">
        <f>SUM(K512,D512)</f>
        <v/>
      </c>
      <c r="M512">
        <f>SUM(L512,E512,F512)</f>
        <v/>
      </c>
      <c r="N512">
        <f>IF(L512=0, -1, K512/L512)</f>
        <v/>
      </c>
      <c r="O512">
        <f>IF(M512=0, -1, K512/M512)</f>
        <v/>
      </c>
      <c r="P512">
        <f>IF(M512=0, -1, L512/M512)</f>
        <v/>
      </c>
    </row>
    <row r="513">
      <c r="A513" t="inlineStr">
        <is>
          <t>RC00145</t>
        </is>
      </c>
      <c r="B513" t="inlineStr">
        <is>
          <t>国际关系学院</t>
        </is>
      </c>
      <c r="C513" t="n">
        <v>0</v>
      </c>
      <c r="D513" t="n">
        <v>0</v>
      </c>
      <c r="E513" t="n">
        <v>8</v>
      </c>
      <c r="F513" t="n">
        <v>2</v>
      </c>
      <c r="G513" t="n">
        <v>27239.44182503378</v>
      </c>
      <c r="H513" t="n">
        <v>52.71290955520013</v>
      </c>
      <c r="I513">
        <f>IF(H513=0, 0, G513/H513)</f>
        <v/>
      </c>
      <c r="J513">
        <f>RANK(I513, I$2:I$1111, 0)</f>
        <v/>
      </c>
      <c r="K513">
        <f>SUM(C513)</f>
        <v/>
      </c>
      <c r="L513">
        <f>SUM(K513,D513)</f>
        <v/>
      </c>
      <c r="M513">
        <f>SUM(L513,E513,F513)</f>
        <v/>
      </c>
      <c r="N513">
        <f>IF(L513=0, -1, K513/L513)</f>
        <v/>
      </c>
      <c r="O513">
        <f>IF(M513=0, -1, K513/M513)</f>
        <v/>
      </c>
      <c r="P513">
        <f>IF(M513=0, -1, L513/M513)</f>
        <v/>
      </c>
    </row>
    <row r="514">
      <c r="A514" t="inlineStr">
        <is>
          <t>RC00133</t>
        </is>
      </c>
      <c r="B514" t="inlineStr">
        <is>
          <t>首都师范大学</t>
        </is>
      </c>
      <c r="C514" t="n">
        <v>2</v>
      </c>
      <c r="D514" t="n">
        <v>19</v>
      </c>
      <c r="E514" t="n">
        <v>29</v>
      </c>
      <c r="F514" t="n">
        <v>4</v>
      </c>
      <c r="G514" t="n">
        <v>165391.8030090075</v>
      </c>
      <c r="H514" t="n">
        <v>259.2644601914168</v>
      </c>
      <c r="I514">
        <f>IF(H514=0, 0, G514/H514)</f>
        <v/>
      </c>
      <c r="J514">
        <f>RANK(I514, I$2:I$1111, 0)</f>
        <v/>
      </c>
      <c r="K514">
        <f>SUM(C514)</f>
        <v/>
      </c>
      <c r="L514">
        <f>SUM(K514,D514)</f>
        <v/>
      </c>
      <c r="M514">
        <f>SUM(L514,E514,F514)</f>
        <v/>
      </c>
      <c r="N514">
        <f>IF(L514=0, -1, K514/L514)</f>
        <v/>
      </c>
      <c r="O514">
        <f>IF(M514=0, -1, K514/M514)</f>
        <v/>
      </c>
      <c r="P514">
        <f>IF(M514=0, -1, L514/M514)</f>
        <v/>
      </c>
    </row>
    <row r="515">
      <c r="A515" t="inlineStr">
        <is>
          <t>RC00104</t>
        </is>
      </c>
      <c r="B515" t="inlineStr">
        <is>
          <t>太原理工大学</t>
        </is>
      </c>
      <c r="C515" t="n">
        <v>1</v>
      </c>
      <c r="D515" t="n">
        <v>14</v>
      </c>
      <c r="E515" t="n">
        <v>56</v>
      </c>
      <c r="F515" t="n">
        <v>11</v>
      </c>
      <c r="G515" t="n">
        <v>207488.8853673932</v>
      </c>
      <c r="H515" t="n">
        <v>371.8347868435283</v>
      </c>
      <c r="I515">
        <f>IF(H515=0, 0, G515/H515)</f>
        <v/>
      </c>
      <c r="J515">
        <f>RANK(I515, I$2:I$1111, 0)</f>
        <v/>
      </c>
      <c r="K515">
        <f>SUM(C515)</f>
        <v/>
      </c>
      <c r="L515">
        <f>SUM(K515,D515)</f>
        <v/>
      </c>
      <c r="M515">
        <f>SUM(L515,E515,F515)</f>
        <v/>
      </c>
      <c r="N515">
        <f>IF(L515=0, -1, K515/L515)</f>
        <v/>
      </c>
      <c r="O515">
        <f>IF(M515=0, -1, K515/M515)</f>
        <v/>
      </c>
      <c r="P515">
        <f>IF(M515=0, -1, L515/M515)</f>
        <v/>
      </c>
    </row>
    <row r="516">
      <c r="A516" t="inlineStr">
        <is>
          <t>RC00370</t>
        </is>
      </c>
      <c r="B516" t="inlineStr">
        <is>
          <t>江苏海洋大学</t>
        </is>
      </c>
      <c r="C516" t="n">
        <v>0</v>
      </c>
      <c r="D516" t="n">
        <v>0</v>
      </c>
      <c r="E516" t="n">
        <v>13</v>
      </c>
      <c r="F516" t="n">
        <v>32</v>
      </c>
      <c r="G516" t="n">
        <v>82023.56566090675</v>
      </c>
      <c r="H516" t="n">
        <v>225.3507327289146</v>
      </c>
      <c r="I516">
        <f>IF(H516=0, 0, G516/H516)</f>
        <v/>
      </c>
      <c r="J516">
        <f>RANK(I516, I$2:I$1111, 0)</f>
        <v/>
      </c>
      <c r="K516">
        <f>SUM(C516)</f>
        <v/>
      </c>
      <c r="L516">
        <f>SUM(K516,D516)</f>
        <v/>
      </c>
      <c r="M516">
        <f>SUM(L516,E516,F516)</f>
        <v/>
      </c>
      <c r="N516">
        <f>IF(L516=0, -1, K516/L516)</f>
        <v/>
      </c>
      <c r="O516">
        <f>IF(M516=0, -1, K516/M516)</f>
        <v/>
      </c>
      <c r="P516">
        <f>IF(M516=0, -1, L516/M516)</f>
        <v/>
      </c>
    </row>
    <row r="517">
      <c r="A517" t="inlineStr">
        <is>
          <t>RC00653</t>
        </is>
      </c>
      <c r="B517" t="inlineStr">
        <is>
          <t>重庆科技大学</t>
        </is>
      </c>
      <c r="C517" t="n">
        <v>0</v>
      </c>
      <c r="D517" t="n">
        <v>0</v>
      </c>
      <c r="E517" t="n">
        <v>10</v>
      </c>
      <c r="F517" t="n">
        <v>37</v>
      </c>
      <c r="G517" t="n">
        <v>82345.16097791957</v>
      </c>
      <c r="H517" t="n">
        <v>221.5453460810946</v>
      </c>
      <c r="I517">
        <f>IF(H517=0, 0, G517/H517)</f>
        <v/>
      </c>
      <c r="J517">
        <f>RANK(I517, I$2:I$1111, 0)</f>
        <v/>
      </c>
      <c r="K517">
        <f>SUM(C517)</f>
        <v/>
      </c>
      <c r="L517">
        <f>SUM(K517,D517)</f>
        <v/>
      </c>
      <c r="M517">
        <f>SUM(L517,E517,F517)</f>
        <v/>
      </c>
      <c r="N517">
        <f>IF(L517=0, -1, K517/L517)</f>
        <v/>
      </c>
      <c r="O517">
        <f>IF(M517=0, -1, K517/M517)</f>
        <v/>
      </c>
      <c r="P517">
        <f>IF(M517=0, -1, L517/M517)</f>
        <v/>
      </c>
    </row>
    <row r="518">
      <c r="A518" t="inlineStr">
        <is>
          <t>RC00757</t>
        </is>
      </c>
      <c r="B518" t="inlineStr">
        <is>
          <t>兰州交通大学</t>
        </is>
      </c>
      <c r="C518" t="n">
        <v>0</v>
      </c>
      <c r="D518" t="n">
        <v>2</v>
      </c>
      <c r="E518" t="n">
        <v>33</v>
      </c>
      <c r="F518" t="n">
        <v>20</v>
      </c>
      <c r="G518" t="n">
        <v>124386.15872777</v>
      </c>
      <c r="H518" t="n">
        <v>275.7839083923432</v>
      </c>
      <c r="I518">
        <f>IF(H518=0, 0, G518/H518)</f>
        <v/>
      </c>
      <c r="J518">
        <f>RANK(I518, I$2:I$1111, 0)</f>
        <v/>
      </c>
      <c r="K518">
        <f>SUM(C518)</f>
        <v/>
      </c>
      <c r="L518">
        <f>SUM(K518,D518)</f>
        <v/>
      </c>
      <c r="M518">
        <f>SUM(L518,E518,F518)</f>
        <v/>
      </c>
      <c r="N518">
        <f>IF(L518=0, -1, K518/L518)</f>
        <v/>
      </c>
      <c r="O518">
        <f>IF(M518=0, -1, K518/M518)</f>
        <v/>
      </c>
      <c r="P518">
        <f>IF(M518=0, -1, L518/M518)</f>
        <v/>
      </c>
    </row>
    <row r="519">
      <c r="A519" t="inlineStr">
        <is>
          <t>RC00618</t>
        </is>
      </c>
      <c r="B519" t="inlineStr">
        <is>
          <t>佛山大学</t>
        </is>
      </c>
      <c r="C519" t="n">
        <v>1</v>
      </c>
      <c r="D519" t="n">
        <v>0</v>
      </c>
      <c r="E519" t="n">
        <v>17</v>
      </c>
      <c r="F519" t="n">
        <v>23</v>
      </c>
      <c r="G519" t="n">
        <v>78951.07377250784</v>
      </c>
      <c r="H519" t="n">
        <v>206.5123558735274</v>
      </c>
      <c r="I519">
        <f>IF(H519=0, 0, G519/H519)</f>
        <v/>
      </c>
      <c r="J519">
        <f>RANK(I519, I$2:I$1111, 0)</f>
        <v/>
      </c>
      <c r="K519">
        <f>SUM(C519)</f>
        <v/>
      </c>
      <c r="L519">
        <f>SUM(K519,D519)</f>
        <v/>
      </c>
      <c r="M519">
        <f>SUM(L519,E519,F519)</f>
        <v/>
      </c>
      <c r="N519">
        <f>IF(L519=0, -1, K519/L519)</f>
        <v/>
      </c>
      <c r="O519">
        <f>IF(M519=0, -1, K519/M519)</f>
        <v/>
      </c>
      <c r="P519">
        <f>IF(M519=0, -1, L519/M519)</f>
        <v/>
      </c>
    </row>
    <row r="520">
      <c r="A520" t="inlineStr">
        <is>
          <t>RC00503</t>
        </is>
      </c>
      <c r="B520" t="inlineStr">
        <is>
          <t>华北水利水电大学</t>
        </is>
      </c>
      <c r="C520" t="n">
        <v>1</v>
      </c>
      <c r="D520" t="n">
        <v>0</v>
      </c>
      <c r="E520" t="n">
        <v>25</v>
      </c>
      <c r="F520" t="n">
        <v>30</v>
      </c>
      <c r="G520" t="n">
        <v>110887.4042677995</v>
      </c>
      <c r="H520" t="n">
        <v>269.6744585613642</v>
      </c>
      <c r="I520">
        <f>IF(H520=0, 0, G520/H520)</f>
        <v/>
      </c>
      <c r="J520">
        <f>RANK(I520, I$2:I$1111, 0)</f>
        <v/>
      </c>
      <c r="K520">
        <f>SUM(C520)</f>
        <v/>
      </c>
      <c r="L520">
        <f>SUM(K520,D520)</f>
        <v/>
      </c>
      <c r="M520">
        <f>SUM(L520,E520,F520)</f>
        <v/>
      </c>
      <c r="N520">
        <f>IF(L520=0, -1, K520/L520)</f>
        <v/>
      </c>
      <c r="O520">
        <f>IF(M520=0, -1, K520/M520)</f>
        <v/>
      </c>
      <c r="P520">
        <f>IF(M520=0, -1, L520/M520)</f>
        <v/>
      </c>
    </row>
    <row r="521">
      <c r="A521" t="inlineStr">
        <is>
          <t>RC00756</t>
        </is>
      </c>
      <c r="B521" t="inlineStr">
        <is>
          <t>兰州理工大学</t>
        </is>
      </c>
      <c r="C521" t="n">
        <v>0</v>
      </c>
      <c r="D521" t="n">
        <v>4</v>
      </c>
      <c r="E521" t="n">
        <v>29</v>
      </c>
      <c r="F521" t="n">
        <v>25</v>
      </c>
      <c r="G521" t="n">
        <v>126198.2977847697</v>
      </c>
      <c r="H521" t="n">
        <v>286.5122741175372</v>
      </c>
      <c r="I521">
        <f>IF(H521=0, 0, G521/H521)</f>
        <v/>
      </c>
      <c r="J521">
        <f>RANK(I521, I$2:I$1111, 0)</f>
        <v/>
      </c>
      <c r="K521">
        <f>SUM(C521)</f>
        <v/>
      </c>
      <c r="L521">
        <f>SUM(K521,D521)</f>
        <v/>
      </c>
      <c r="M521">
        <f>SUM(L521,E521,F521)</f>
        <v/>
      </c>
      <c r="N521">
        <f>IF(L521=0, -1, K521/L521)</f>
        <v/>
      </c>
      <c r="O521">
        <f>IF(M521=0, -1, K521/M521)</f>
        <v/>
      </c>
      <c r="P521">
        <f>IF(M521=0, -1, L521/M521)</f>
        <v/>
      </c>
    </row>
    <row r="522">
      <c r="A522" t="inlineStr">
        <is>
          <t>RC00128</t>
        </is>
      </c>
      <c r="B522" t="inlineStr">
        <is>
          <t>北京服装学院</t>
        </is>
      </c>
      <c r="C522" t="n">
        <v>3</v>
      </c>
      <c r="D522" t="n">
        <v>7</v>
      </c>
      <c r="E522" t="n">
        <v>6</v>
      </c>
      <c r="F522" t="n">
        <v>6</v>
      </c>
      <c r="G522" t="n">
        <v>63266.86085557628</v>
      </c>
      <c r="H522" t="n">
        <v>104.1898893882841</v>
      </c>
      <c r="I522">
        <f>IF(H522=0, 0, G522/H522)</f>
        <v/>
      </c>
      <c r="J522">
        <f>RANK(I522, I$2:I$1111, 0)</f>
        <v/>
      </c>
      <c r="K522">
        <f>SUM(C522)</f>
        <v/>
      </c>
      <c r="L522">
        <f>SUM(K522,D522)</f>
        <v/>
      </c>
      <c r="M522">
        <f>SUM(L522,E522,F522)</f>
        <v/>
      </c>
      <c r="N522">
        <f>IF(L522=0, -1, K522/L522)</f>
        <v/>
      </c>
      <c r="O522">
        <f>IF(M522=0, -1, K522/M522)</f>
        <v/>
      </c>
      <c r="P522">
        <f>IF(M522=0, -1, L522/M522)</f>
        <v/>
      </c>
    </row>
    <row r="523">
      <c r="A523" t="inlineStr">
        <is>
          <t>RC00382</t>
        </is>
      </c>
      <c r="B523" t="inlineStr">
        <is>
          <t>绍兴文理学院</t>
        </is>
      </c>
      <c r="C523" t="n">
        <v>0</v>
      </c>
      <c r="D523" t="n">
        <v>1</v>
      </c>
      <c r="E523" t="n">
        <v>11</v>
      </c>
      <c r="F523" t="n">
        <v>31</v>
      </c>
      <c r="G523" t="n">
        <v>83747.18636464058</v>
      </c>
      <c r="H523" t="n">
        <v>221.4087378930459</v>
      </c>
      <c r="I523">
        <f>IF(H523=0, 0, G523/H523)</f>
        <v/>
      </c>
      <c r="J523">
        <f>RANK(I523, I$2:I$1111, 0)</f>
        <v/>
      </c>
      <c r="K523">
        <f>SUM(C523)</f>
        <v/>
      </c>
      <c r="L523">
        <f>SUM(K523,D523)</f>
        <v/>
      </c>
      <c r="M523">
        <f>SUM(L523,E523,F523)</f>
        <v/>
      </c>
      <c r="N523">
        <f>IF(L523=0, -1, K523/L523)</f>
        <v/>
      </c>
      <c r="O523">
        <f>IF(M523=0, -1, K523/M523)</f>
        <v/>
      </c>
      <c r="P523">
        <f>IF(M523=0, -1, L523/M523)</f>
        <v/>
      </c>
    </row>
    <row r="524">
      <c r="A524" t="inlineStr">
        <is>
          <t>RC00330</t>
        </is>
      </c>
      <c r="B524" t="inlineStr">
        <is>
          <t>上海应用技术大学</t>
        </is>
      </c>
      <c r="C524" t="n">
        <v>2</v>
      </c>
      <c r="D524" t="n">
        <v>0</v>
      </c>
      <c r="E524" t="n">
        <v>24</v>
      </c>
      <c r="F524" t="n">
        <v>18</v>
      </c>
      <c r="G524" t="n">
        <v>90741.86303387924</v>
      </c>
      <c r="H524" t="n">
        <v>219.2670146565107</v>
      </c>
      <c r="I524">
        <f>IF(H524=0, 0, G524/H524)</f>
        <v/>
      </c>
      <c r="J524">
        <f>RANK(I524, I$2:I$1111, 0)</f>
        <v/>
      </c>
      <c r="K524">
        <f>SUM(C524)</f>
        <v/>
      </c>
      <c r="L524">
        <f>SUM(K524,D524)</f>
        <v/>
      </c>
      <c r="M524">
        <f>SUM(L524,E524,F524)</f>
        <v/>
      </c>
      <c r="N524">
        <f>IF(L524=0, -1, K524/L524)</f>
        <v/>
      </c>
      <c r="O524">
        <f>IF(M524=0, -1, K524/M524)</f>
        <v/>
      </c>
      <c r="P524">
        <f>IF(M524=0, -1, L524/M524)</f>
        <v/>
      </c>
    </row>
    <row r="525">
      <c r="A525" t="inlineStr">
        <is>
          <t>RC00466</t>
        </is>
      </c>
      <c r="B525" t="inlineStr">
        <is>
          <t>青岛理工大学</t>
        </is>
      </c>
      <c r="C525" t="n">
        <v>1</v>
      </c>
      <c r="D525" t="n">
        <v>8</v>
      </c>
      <c r="E525" t="n">
        <v>37</v>
      </c>
      <c r="F525" t="n">
        <v>11</v>
      </c>
      <c r="G525" t="n">
        <v>141709.2777423738</v>
      </c>
      <c r="H525" t="n">
        <v>282.0710019934847</v>
      </c>
      <c r="I525">
        <f>IF(H525=0, 0, G525/H525)</f>
        <v/>
      </c>
      <c r="J525">
        <f>RANK(I525, I$2:I$1111, 0)</f>
        <v/>
      </c>
      <c r="K525">
        <f>SUM(C525)</f>
        <v/>
      </c>
      <c r="L525">
        <f>SUM(K525,D525)</f>
        <v/>
      </c>
      <c r="M525">
        <f>SUM(L525,E525,F525)</f>
        <v/>
      </c>
      <c r="N525">
        <f>IF(L525=0, -1, K525/L525)</f>
        <v/>
      </c>
      <c r="O525">
        <f>IF(M525=0, -1, K525/M525)</f>
        <v/>
      </c>
      <c r="P525">
        <f>IF(M525=0, -1, L525/M525)</f>
        <v/>
      </c>
    </row>
    <row r="526">
      <c r="A526" t="inlineStr">
        <is>
          <t>RC00251</t>
        </is>
      </c>
      <c r="B526" t="inlineStr">
        <is>
          <t>沈阳化工大学</t>
        </is>
      </c>
      <c r="C526" t="n">
        <v>0</v>
      </c>
      <c r="D526" t="n">
        <v>0</v>
      </c>
      <c r="E526" t="n">
        <v>10</v>
      </c>
      <c r="F526" t="n">
        <v>25</v>
      </c>
      <c r="G526" t="n">
        <v>68717.78090797958</v>
      </c>
      <c r="H526" t="n">
        <v>176.139781315228</v>
      </c>
      <c r="I526">
        <f>IF(H526=0, 0, G526/H526)</f>
        <v/>
      </c>
      <c r="J526">
        <f>RANK(I526, I$2:I$1111, 0)</f>
        <v/>
      </c>
      <c r="K526">
        <f>SUM(C526)</f>
        <v/>
      </c>
      <c r="L526">
        <f>SUM(K526,D526)</f>
        <v/>
      </c>
      <c r="M526">
        <f>SUM(L526,E526,F526)</f>
        <v/>
      </c>
      <c r="N526">
        <f>IF(L526=0, -1, K526/L526)</f>
        <v/>
      </c>
      <c r="O526">
        <f>IF(M526=0, -1, K526/M526)</f>
        <v/>
      </c>
      <c r="P526">
        <f>IF(M526=0, -1, L526/M526)</f>
        <v/>
      </c>
    </row>
    <row r="527">
      <c r="A527" t="inlineStr">
        <is>
          <t>RC00544</t>
        </is>
      </c>
      <c r="B527" t="inlineStr">
        <is>
          <t>湖北师范大学</t>
        </is>
      </c>
      <c r="C527" t="n">
        <v>1</v>
      </c>
      <c r="D527" t="n">
        <v>0</v>
      </c>
      <c r="E527" t="n">
        <v>14</v>
      </c>
      <c r="F527" t="n">
        <v>29</v>
      </c>
      <c r="G527" t="n">
        <v>87096.24207786942</v>
      </c>
      <c r="H527" t="n">
        <v>225.4643983432</v>
      </c>
      <c r="I527">
        <f>IF(H527=0, 0, G527/H527)</f>
        <v/>
      </c>
      <c r="J527">
        <f>RANK(I527, I$2:I$1111, 0)</f>
        <v/>
      </c>
      <c r="K527">
        <f>SUM(C527)</f>
        <v/>
      </c>
      <c r="L527">
        <f>SUM(K527,D527)</f>
        <v/>
      </c>
      <c r="M527">
        <f>SUM(L527,E527,F527)</f>
        <v/>
      </c>
      <c r="N527">
        <f>IF(L527=0, -1, K527/L527)</f>
        <v/>
      </c>
      <c r="O527">
        <f>IF(M527=0, -1, K527/M527)</f>
        <v/>
      </c>
      <c r="P527">
        <f>IF(M527=0, -1, L527/M527)</f>
        <v/>
      </c>
    </row>
    <row r="528">
      <c r="A528" t="inlineStr">
        <is>
          <t>RC00446</t>
        </is>
      </c>
      <c r="B528" t="inlineStr">
        <is>
          <t>江西农业大学</t>
        </is>
      </c>
      <c r="C528" t="n">
        <v>1</v>
      </c>
      <c r="D528" t="n">
        <v>1</v>
      </c>
      <c r="E528" t="n">
        <v>16</v>
      </c>
      <c r="F528" t="n">
        <v>27</v>
      </c>
      <c r="G528" t="n">
        <v>86639.84867631544</v>
      </c>
      <c r="H528" t="n">
        <v>206.6208999093849</v>
      </c>
      <c r="I528">
        <f>IF(H528=0, 0, G528/H528)</f>
        <v/>
      </c>
      <c r="J528">
        <f>RANK(I528, I$2:I$1111, 0)</f>
        <v/>
      </c>
      <c r="K528">
        <f>SUM(C528)</f>
        <v/>
      </c>
      <c r="L528">
        <f>SUM(K528,D528)</f>
        <v/>
      </c>
      <c r="M528">
        <f>SUM(L528,E528,F528)</f>
        <v/>
      </c>
      <c r="N528">
        <f>IF(L528=0, -1, K528/L528)</f>
        <v/>
      </c>
      <c r="O528">
        <f>IF(M528=0, -1, K528/M528)</f>
        <v/>
      </c>
      <c r="P528">
        <f>IF(M528=0, -1, L528/M528)</f>
        <v/>
      </c>
    </row>
    <row r="529">
      <c r="A529" t="inlineStr">
        <is>
          <t>RC00715</t>
        </is>
      </c>
      <c r="B529" t="inlineStr">
        <is>
          <t>红河学院</t>
        </is>
      </c>
      <c r="C529" t="n">
        <v>0</v>
      </c>
      <c r="D529" t="n">
        <v>0</v>
      </c>
      <c r="E529" t="n">
        <v>3</v>
      </c>
      <c r="F529" t="n">
        <v>7</v>
      </c>
      <c r="G529" t="n">
        <v>17899.22689135751</v>
      </c>
      <c r="H529" t="n">
        <v>44.91278197870675</v>
      </c>
      <c r="I529">
        <f>IF(H529=0, 0, G529/H529)</f>
        <v/>
      </c>
      <c r="J529">
        <f>RANK(I529, I$2:I$1111, 0)</f>
        <v/>
      </c>
      <c r="K529">
        <f>SUM(C529)</f>
        <v/>
      </c>
      <c r="L529">
        <f>SUM(K529,D529)</f>
        <v/>
      </c>
      <c r="M529">
        <f>SUM(L529,E529,F529)</f>
        <v/>
      </c>
      <c r="N529">
        <f>IF(L529=0, -1, K529/L529)</f>
        <v/>
      </c>
      <c r="O529">
        <f>IF(M529=0, -1, K529/M529)</f>
        <v/>
      </c>
      <c r="P529">
        <f>IF(M529=0, -1, L529/M529)</f>
        <v/>
      </c>
    </row>
    <row r="530">
      <c r="A530" t="inlineStr">
        <is>
          <t>RC00383</t>
        </is>
      </c>
      <c r="B530" t="inlineStr">
        <is>
          <t>台州学院</t>
        </is>
      </c>
      <c r="C530" t="n">
        <v>0</v>
      </c>
      <c r="D530" t="n">
        <v>0</v>
      </c>
      <c r="E530" t="n">
        <v>11</v>
      </c>
      <c r="F530" t="n">
        <v>23</v>
      </c>
      <c r="G530" t="n">
        <v>66492.06081373645</v>
      </c>
      <c r="H530" t="n">
        <v>175.024506330866</v>
      </c>
      <c r="I530">
        <f>IF(H530=0, 0, G530/H530)</f>
        <v/>
      </c>
      <c r="J530">
        <f>RANK(I530, I$2:I$1111, 0)</f>
        <v/>
      </c>
      <c r="K530">
        <f>SUM(C530)</f>
        <v/>
      </c>
      <c r="L530">
        <f>SUM(K530,D530)</f>
        <v/>
      </c>
      <c r="M530">
        <f>SUM(L530,E530,F530)</f>
        <v/>
      </c>
      <c r="N530">
        <f>IF(L530=0, -1, K530/L530)</f>
        <v/>
      </c>
      <c r="O530">
        <f>IF(M530=0, -1, K530/M530)</f>
        <v/>
      </c>
      <c r="P530">
        <f>IF(M530=0, -1, L530/M530)</f>
        <v/>
      </c>
    </row>
    <row r="531">
      <c r="A531" t="inlineStr">
        <is>
          <t>RC00442</t>
        </is>
      </c>
      <c r="B531" t="inlineStr">
        <is>
          <t>东华理工大学</t>
        </is>
      </c>
      <c r="C531" t="n">
        <v>1</v>
      </c>
      <c r="D531" t="n">
        <v>0</v>
      </c>
      <c r="E531" t="n">
        <v>17</v>
      </c>
      <c r="F531" t="n">
        <v>31</v>
      </c>
      <c r="G531" t="n">
        <v>93012.36025873791</v>
      </c>
      <c r="H531" t="n">
        <v>237.5301172316545</v>
      </c>
      <c r="I531">
        <f>IF(H531=0, 0, G531/H531)</f>
        <v/>
      </c>
      <c r="J531">
        <f>RANK(I531, I$2:I$1111, 0)</f>
        <v/>
      </c>
      <c r="K531">
        <f>SUM(C531)</f>
        <v/>
      </c>
      <c r="L531">
        <f>SUM(K531,D531)</f>
        <v/>
      </c>
      <c r="M531">
        <f>SUM(L531,E531,F531)</f>
        <v/>
      </c>
      <c r="N531">
        <f>IF(L531=0, -1, K531/L531)</f>
        <v/>
      </c>
      <c r="O531">
        <f>IF(M531=0, -1, K531/M531)</f>
        <v/>
      </c>
      <c r="P531">
        <f>IF(M531=0, -1, L531/M531)</f>
        <v/>
      </c>
    </row>
    <row r="532">
      <c r="A532" t="inlineStr">
        <is>
          <t>RC00445</t>
        </is>
      </c>
      <c r="B532" t="inlineStr">
        <is>
          <t>景德镇陶瓷大学</t>
        </is>
      </c>
      <c r="C532" t="n">
        <v>1</v>
      </c>
      <c r="D532" t="n">
        <v>5</v>
      </c>
      <c r="E532" t="n">
        <v>14</v>
      </c>
      <c r="F532" t="n">
        <v>21</v>
      </c>
      <c r="G532" t="n">
        <v>86555.4661314351</v>
      </c>
      <c r="H532" t="n">
        <v>185.7870295806013</v>
      </c>
      <c r="I532">
        <f>IF(H532=0, 0, G532/H532)</f>
        <v/>
      </c>
      <c r="J532">
        <f>RANK(I532, I$2:I$1111, 0)</f>
        <v/>
      </c>
      <c r="K532">
        <f>SUM(C532)</f>
        <v/>
      </c>
      <c r="L532">
        <f>SUM(K532,D532)</f>
        <v/>
      </c>
      <c r="M532">
        <f>SUM(L532,E532,F532)</f>
        <v/>
      </c>
      <c r="N532">
        <f>IF(L532=0, -1, K532/L532)</f>
        <v/>
      </c>
      <c r="O532">
        <f>IF(M532=0, -1, K532/M532)</f>
        <v/>
      </c>
      <c r="P532">
        <f>IF(M532=0, -1, L532/M532)</f>
        <v/>
      </c>
    </row>
    <row r="533">
      <c r="A533" t="inlineStr">
        <is>
          <t>RC00406</t>
        </is>
      </c>
      <c r="B533" t="inlineStr">
        <is>
          <t>安徽中医药大学</t>
        </is>
      </c>
      <c r="C533" t="n">
        <v>0</v>
      </c>
      <c r="D533" t="n">
        <v>0</v>
      </c>
      <c r="E533" t="n">
        <v>13</v>
      </c>
      <c r="F533" t="n">
        <v>14</v>
      </c>
      <c r="G533" t="n">
        <v>54438.14640056751</v>
      </c>
      <c r="H533" t="n">
        <v>121.2076806465302</v>
      </c>
      <c r="I533">
        <f>IF(H533=0, 0, G533/H533)</f>
        <v/>
      </c>
      <c r="J533">
        <f>RANK(I533, I$2:I$1111, 0)</f>
        <v/>
      </c>
      <c r="K533">
        <f>SUM(C533)</f>
        <v/>
      </c>
      <c r="L533">
        <f>SUM(K533,D533)</f>
        <v/>
      </c>
      <c r="M533">
        <f>SUM(L533,E533,F533)</f>
        <v/>
      </c>
      <c r="N533">
        <f>IF(L533=0, -1, K533/L533)</f>
        <v/>
      </c>
      <c r="O533">
        <f>IF(M533=0, -1, K533/M533)</f>
        <v/>
      </c>
      <c r="P533">
        <f>IF(M533=0, -1, L533/M533)</f>
        <v/>
      </c>
    </row>
    <row r="534">
      <c r="A534" t="inlineStr">
        <is>
          <t>RC00342</t>
        </is>
      </c>
      <c r="B534" t="inlineStr">
        <is>
          <t>上海工程技术大学</t>
        </is>
      </c>
      <c r="C534" t="n">
        <v>1</v>
      </c>
      <c r="D534" t="n">
        <v>7</v>
      </c>
      <c r="E534" t="n">
        <v>29</v>
      </c>
      <c r="F534" t="n">
        <v>16</v>
      </c>
      <c r="G534" t="n">
        <v>124132.0125017973</v>
      </c>
      <c r="H534" t="n">
        <v>249.0611009671452</v>
      </c>
      <c r="I534">
        <f>IF(H534=0, 0, G534/H534)</f>
        <v/>
      </c>
      <c r="J534">
        <f>RANK(I534, I$2:I$1111, 0)</f>
        <v/>
      </c>
      <c r="K534">
        <f>SUM(C534)</f>
        <v/>
      </c>
      <c r="L534">
        <f>SUM(K534,D534)</f>
        <v/>
      </c>
      <c r="M534">
        <f>SUM(L534,E534,F534)</f>
        <v/>
      </c>
      <c r="N534">
        <f>IF(L534=0, -1, K534/L534)</f>
        <v/>
      </c>
      <c r="O534">
        <f>IF(M534=0, -1, K534/M534)</f>
        <v/>
      </c>
      <c r="P534">
        <f>IF(M534=0, -1, L534/M534)</f>
        <v/>
      </c>
    </row>
    <row r="535">
      <c r="A535" t="inlineStr">
        <is>
          <t>RC00622</t>
        </is>
      </c>
      <c r="B535" t="inlineStr">
        <is>
          <t>桂林理工大学</t>
        </is>
      </c>
      <c r="C535" t="n">
        <v>2</v>
      </c>
      <c r="D535" t="n">
        <v>3</v>
      </c>
      <c r="E535" t="n">
        <v>30</v>
      </c>
      <c r="F535" t="n">
        <v>29</v>
      </c>
      <c r="G535" t="n">
        <v>131614.1739399478</v>
      </c>
      <c r="H535" t="n">
        <v>301.6082670096736</v>
      </c>
      <c r="I535">
        <f>IF(H535=0, 0, G535/H535)</f>
        <v/>
      </c>
      <c r="J535">
        <f>RANK(I535, I$2:I$1111, 0)</f>
        <v/>
      </c>
      <c r="K535">
        <f>SUM(C535)</f>
        <v/>
      </c>
      <c r="L535">
        <f>SUM(K535,D535)</f>
        <v/>
      </c>
      <c r="M535">
        <f>SUM(L535,E535,F535)</f>
        <v/>
      </c>
      <c r="N535">
        <f>IF(L535=0, -1, K535/L535)</f>
        <v/>
      </c>
      <c r="O535">
        <f>IF(M535=0, -1, K535/M535)</f>
        <v/>
      </c>
      <c r="P535">
        <f>IF(M535=0, -1, L535/M535)</f>
        <v/>
      </c>
    </row>
    <row r="536">
      <c r="A536" t="inlineStr">
        <is>
          <t>RC00505</t>
        </is>
      </c>
      <c r="B536" t="inlineStr">
        <is>
          <t>郑州轻工业大学</t>
        </is>
      </c>
      <c r="C536" t="n">
        <v>0</v>
      </c>
      <c r="D536" t="n">
        <v>3</v>
      </c>
      <c r="E536" t="n">
        <v>26</v>
      </c>
      <c r="F536" t="n">
        <v>29</v>
      </c>
      <c r="G536" t="n">
        <v>125189.1268009228</v>
      </c>
      <c r="H536" t="n">
        <v>293.9314880284243</v>
      </c>
      <c r="I536">
        <f>IF(H536=0, 0, G536/H536)</f>
        <v/>
      </c>
      <c r="J536">
        <f>RANK(I536, I$2:I$1111, 0)</f>
        <v/>
      </c>
      <c r="K536">
        <f>SUM(C536)</f>
        <v/>
      </c>
      <c r="L536">
        <f>SUM(K536,D536)</f>
        <v/>
      </c>
      <c r="M536">
        <f>SUM(L536,E536,F536)</f>
        <v/>
      </c>
      <c r="N536">
        <f>IF(L536=0, -1, K536/L536)</f>
        <v/>
      </c>
      <c r="O536">
        <f>IF(M536=0, -1, K536/M536)</f>
        <v/>
      </c>
      <c r="P536">
        <f>IF(M536=0, -1, L536/M536)</f>
        <v/>
      </c>
    </row>
    <row r="537">
      <c r="A537" t="inlineStr">
        <is>
          <t>RC00286</t>
        </is>
      </c>
      <c r="B537" t="inlineStr">
        <is>
          <t>吉林化工学院</t>
        </is>
      </c>
      <c r="C537" t="n">
        <v>0</v>
      </c>
      <c r="D537" t="n">
        <v>0</v>
      </c>
      <c r="E537" t="n">
        <v>0</v>
      </c>
      <c r="F537" t="n">
        <v>12</v>
      </c>
      <c r="G537" t="n">
        <v>18442.51205764779</v>
      </c>
      <c r="H537" t="n">
        <v>59.08793963052638</v>
      </c>
      <c r="I537">
        <f>IF(H537=0, 0, G537/H537)</f>
        <v/>
      </c>
      <c r="J537">
        <f>RANK(I537, I$2:I$1111, 0)</f>
        <v/>
      </c>
      <c r="K537">
        <f>SUM(C537)</f>
        <v/>
      </c>
      <c r="L537">
        <f>SUM(K537,D537)</f>
        <v/>
      </c>
      <c r="M537">
        <f>SUM(L537,E537,F537)</f>
        <v/>
      </c>
      <c r="N537">
        <f>IF(L537=0, -1, K537/L537)</f>
        <v/>
      </c>
      <c r="O537">
        <f>IF(M537=0, -1, K537/M537)</f>
        <v/>
      </c>
      <c r="P537">
        <f>IF(M537=0, -1, L537/M537)</f>
        <v/>
      </c>
    </row>
    <row r="538">
      <c r="A538" t="inlineStr">
        <is>
          <t>RC01066</t>
        </is>
      </c>
      <c r="B538" t="inlineStr">
        <is>
          <t>嘉兴南湖学院</t>
        </is>
      </c>
      <c r="C538" t="n">
        <v>0</v>
      </c>
      <c r="D538" t="n">
        <v>0</v>
      </c>
      <c r="E538" t="n">
        <v>3</v>
      </c>
      <c r="F538" t="n">
        <v>9</v>
      </c>
      <c r="G538" t="n">
        <v>22431.63981800211</v>
      </c>
      <c r="H538" t="n">
        <v>63.44249925840347</v>
      </c>
      <c r="I538">
        <f>IF(H538=0, 0, G538/H538)</f>
        <v/>
      </c>
      <c r="J538">
        <f>RANK(I538, I$2:I$1111, 0)</f>
        <v/>
      </c>
      <c r="K538">
        <f>SUM(C538)</f>
        <v/>
      </c>
      <c r="L538">
        <f>SUM(K538,D538)</f>
        <v/>
      </c>
      <c r="M538">
        <f>SUM(L538,E538,F538)</f>
        <v/>
      </c>
      <c r="N538">
        <f>IF(L538=0, -1, K538/L538)</f>
        <v/>
      </c>
      <c r="O538">
        <f>IF(M538=0, -1, K538/M538)</f>
        <v/>
      </c>
      <c r="P538">
        <f>IF(M538=0, -1, L538/M538)</f>
        <v/>
      </c>
    </row>
    <row r="539">
      <c r="A539" t="inlineStr">
        <is>
          <t>RC00620</t>
        </is>
      </c>
      <c r="B539" t="inlineStr">
        <is>
          <t>广西科技大学</t>
        </is>
      </c>
      <c r="C539" t="n">
        <v>0</v>
      </c>
      <c r="D539" t="n">
        <v>0</v>
      </c>
      <c r="E539" t="n">
        <v>7</v>
      </c>
      <c r="F539" t="n">
        <v>25</v>
      </c>
      <c r="G539" t="n">
        <v>58648.04880782757</v>
      </c>
      <c r="H539" t="n">
        <v>166.1605562560726</v>
      </c>
      <c r="I539">
        <f>IF(H539=0, 0, G539/H539)</f>
        <v/>
      </c>
      <c r="J539">
        <f>RANK(I539, I$2:I$1111, 0)</f>
        <v/>
      </c>
      <c r="K539">
        <f>SUM(C539)</f>
        <v/>
      </c>
      <c r="L539">
        <f>SUM(K539,D539)</f>
        <v/>
      </c>
      <c r="M539">
        <f>SUM(L539,E539,F539)</f>
        <v/>
      </c>
      <c r="N539">
        <f>IF(L539=0, -1, K539/L539)</f>
        <v/>
      </c>
      <c r="O539">
        <f>IF(M539=0, -1, K539/M539)</f>
        <v/>
      </c>
      <c r="P539">
        <f>IF(M539=0, -1, L539/M539)</f>
        <v/>
      </c>
    </row>
    <row r="540">
      <c r="A540" t="inlineStr">
        <is>
          <t>RC00249</t>
        </is>
      </c>
      <c r="B540" t="inlineStr">
        <is>
          <t>辽宁工程技术大学</t>
        </is>
      </c>
      <c r="C540" t="n">
        <v>0</v>
      </c>
      <c r="D540" t="n">
        <v>0</v>
      </c>
      <c r="E540" t="n">
        <v>19</v>
      </c>
      <c r="F540" t="n">
        <v>25</v>
      </c>
      <c r="G540" t="n">
        <v>88310.47286899529</v>
      </c>
      <c r="H540" t="n">
        <v>215.3574568593922</v>
      </c>
      <c r="I540">
        <f>IF(H540=0, 0, G540/H540)</f>
        <v/>
      </c>
      <c r="J540">
        <f>RANK(I540, I$2:I$1111, 0)</f>
        <v/>
      </c>
      <c r="K540">
        <f>SUM(C540)</f>
        <v/>
      </c>
      <c r="L540">
        <f>SUM(K540,D540)</f>
        <v/>
      </c>
      <c r="M540">
        <f>SUM(L540,E540,F540)</f>
        <v/>
      </c>
      <c r="N540">
        <f>IF(L540=0, -1, K540/L540)</f>
        <v/>
      </c>
      <c r="O540">
        <f>IF(M540=0, -1, K540/M540)</f>
        <v/>
      </c>
      <c r="P540">
        <f>IF(M540=0, -1, L540/M540)</f>
        <v/>
      </c>
    </row>
    <row r="541">
      <c r="A541" t="inlineStr">
        <is>
          <t>RC00482</t>
        </is>
      </c>
      <c r="B541" t="inlineStr">
        <is>
          <t>鲁东大学</t>
        </is>
      </c>
      <c r="C541" t="n">
        <v>1</v>
      </c>
      <c r="D541" t="n">
        <v>0</v>
      </c>
      <c r="E541" t="n">
        <v>9</v>
      </c>
      <c r="F541" t="n">
        <v>32</v>
      </c>
      <c r="G541" t="n">
        <v>80438.15552433641</v>
      </c>
      <c r="H541" t="n">
        <v>205.3098099918064</v>
      </c>
      <c r="I541">
        <f>IF(H541=0, 0, G541/H541)</f>
        <v/>
      </c>
      <c r="J541">
        <f>RANK(I541, I$2:I$1111, 0)</f>
        <v/>
      </c>
      <c r="K541">
        <f>SUM(C541)</f>
        <v/>
      </c>
      <c r="L541">
        <f>SUM(K541,D541)</f>
        <v/>
      </c>
      <c r="M541">
        <f>SUM(L541,E541,F541)</f>
        <v/>
      </c>
      <c r="N541">
        <f>IF(L541=0, -1, K541/L541)</f>
        <v/>
      </c>
      <c r="O541">
        <f>IF(M541=0, -1, K541/M541)</f>
        <v/>
      </c>
      <c r="P541">
        <f>IF(M541=0, -1, L541/M541)</f>
        <v/>
      </c>
    </row>
    <row r="542">
      <c r="A542" t="inlineStr">
        <is>
          <t>RC00755</t>
        </is>
      </c>
      <c r="B542" t="inlineStr">
        <is>
          <t>西北民族大学</t>
        </is>
      </c>
      <c r="C542" t="n">
        <v>0</v>
      </c>
      <c r="D542" t="n">
        <v>2</v>
      </c>
      <c r="E542" t="n">
        <v>7</v>
      </c>
      <c r="F542" t="n">
        <v>33</v>
      </c>
      <c r="G542" t="n">
        <v>78001.90623294488</v>
      </c>
      <c r="H542" t="n">
        <v>203.3718531661614</v>
      </c>
      <c r="I542">
        <f>IF(H542=0, 0, G542/H542)</f>
        <v/>
      </c>
      <c r="J542">
        <f>RANK(I542, I$2:I$1111, 0)</f>
        <v/>
      </c>
      <c r="K542">
        <f>SUM(C542)</f>
        <v/>
      </c>
      <c r="L542">
        <f>SUM(K542,D542)</f>
        <v/>
      </c>
      <c r="M542">
        <f>SUM(L542,E542,F542)</f>
        <v/>
      </c>
      <c r="N542">
        <f>IF(L542=0, -1, K542/L542)</f>
        <v/>
      </c>
      <c r="O542">
        <f>IF(M542=0, -1, K542/M542)</f>
        <v/>
      </c>
      <c r="P542">
        <f>IF(M542=0, -1, L542/M542)</f>
        <v/>
      </c>
    </row>
    <row r="543">
      <c r="A543" t="inlineStr">
        <is>
          <t>RC00430</t>
        </is>
      </c>
      <c r="B543" t="inlineStr">
        <is>
          <t>闽江学院</t>
        </is>
      </c>
      <c r="C543" t="n">
        <v>0</v>
      </c>
      <c r="D543" t="n">
        <v>0</v>
      </c>
      <c r="E543" t="n">
        <v>8</v>
      </c>
      <c r="F543" t="n">
        <v>20</v>
      </c>
      <c r="G543" t="n">
        <v>55564.56809430735</v>
      </c>
      <c r="H543" t="n">
        <v>147.9097539080107</v>
      </c>
      <c r="I543">
        <f>IF(H543=0, 0, G543/H543)</f>
        <v/>
      </c>
      <c r="J543">
        <f>RANK(I543, I$2:I$1111, 0)</f>
        <v/>
      </c>
      <c r="K543">
        <f>SUM(C543)</f>
        <v/>
      </c>
      <c r="L543">
        <f>SUM(K543,D543)</f>
        <v/>
      </c>
      <c r="M543">
        <f>SUM(L543,E543,F543)</f>
        <v/>
      </c>
      <c r="N543">
        <f>IF(L543=0, -1, K543/L543)</f>
        <v/>
      </c>
      <c r="O543">
        <f>IF(M543=0, -1, K543/M543)</f>
        <v/>
      </c>
      <c r="P543">
        <f>IF(M543=0, -1, L543/M543)</f>
        <v/>
      </c>
    </row>
    <row r="544">
      <c r="A544" t="inlineStr">
        <is>
          <t>RC00214</t>
        </is>
      </c>
      <c r="B544" t="inlineStr">
        <is>
          <t>山西农业大学</t>
        </is>
      </c>
      <c r="C544" t="n">
        <v>0</v>
      </c>
      <c r="D544" t="n">
        <v>0</v>
      </c>
      <c r="E544" t="n">
        <v>11</v>
      </c>
      <c r="F544" t="n">
        <v>35</v>
      </c>
      <c r="G544" t="n">
        <v>78515.2687361287</v>
      </c>
      <c r="H544" t="n">
        <v>200.0859561923052</v>
      </c>
      <c r="I544">
        <f>IF(H544=0, 0, G544/H544)</f>
        <v/>
      </c>
      <c r="J544">
        <f>RANK(I544, I$2:I$1111, 0)</f>
        <v/>
      </c>
      <c r="K544">
        <f>SUM(C544)</f>
        <v/>
      </c>
      <c r="L544">
        <f>SUM(K544,D544)</f>
        <v/>
      </c>
      <c r="M544">
        <f>SUM(L544,E544,F544)</f>
        <v/>
      </c>
      <c r="N544">
        <f>IF(L544=0, -1, K544/L544)</f>
        <v/>
      </c>
      <c r="O544">
        <f>IF(M544=0, -1, K544/M544)</f>
        <v/>
      </c>
      <c r="P544">
        <f>IF(M544=0, -1, L544/M544)</f>
        <v/>
      </c>
    </row>
    <row r="545">
      <c r="A545" t="inlineStr">
        <is>
          <t>RC00364</t>
        </is>
      </c>
      <c r="B545" t="inlineStr">
        <is>
          <t>南京工程学院</t>
        </is>
      </c>
      <c r="C545" t="n">
        <v>1</v>
      </c>
      <c r="D545" t="n">
        <v>2</v>
      </c>
      <c r="E545" t="n">
        <v>28</v>
      </c>
      <c r="F545" t="n">
        <v>29</v>
      </c>
      <c r="G545" t="n">
        <v>120054.629837145</v>
      </c>
      <c r="H545" t="n">
        <v>289.8226304728036</v>
      </c>
      <c r="I545">
        <f>IF(H545=0, 0, G545/H545)</f>
        <v/>
      </c>
      <c r="J545">
        <f>RANK(I545, I$2:I$1111, 0)</f>
        <v/>
      </c>
      <c r="K545">
        <f>SUM(C545)</f>
        <v/>
      </c>
      <c r="L545">
        <f>SUM(K545,D545)</f>
        <v/>
      </c>
      <c r="M545">
        <f>SUM(L545,E545,F545)</f>
        <v/>
      </c>
      <c r="N545">
        <f>IF(L545=0, -1, K545/L545)</f>
        <v/>
      </c>
      <c r="O545">
        <f>IF(M545=0, -1, K545/M545)</f>
        <v/>
      </c>
      <c r="P545">
        <f>IF(M545=0, -1, L545/M545)</f>
        <v/>
      </c>
    </row>
    <row r="546">
      <c r="A546" t="inlineStr">
        <is>
          <t>RC00734</t>
        </is>
      </c>
      <c r="B546" t="inlineStr">
        <is>
          <t>西安工程大学</t>
        </is>
      </c>
      <c r="C546" t="n">
        <v>0</v>
      </c>
      <c r="D546" t="n">
        <v>2</v>
      </c>
      <c r="E546" t="n">
        <v>19</v>
      </c>
      <c r="F546" t="n">
        <v>27</v>
      </c>
      <c r="G546" t="n">
        <v>101091.9584261137</v>
      </c>
      <c r="H546" t="n">
        <v>242.884486280842</v>
      </c>
      <c r="I546">
        <f>IF(H546=0, 0, G546/H546)</f>
        <v/>
      </c>
      <c r="J546">
        <f>RANK(I546, I$2:I$1111, 0)</f>
        <v/>
      </c>
      <c r="K546">
        <f>SUM(C546)</f>
        <v/>
      </c>
      <c r="L546">
        <f>SUM(K546,D546)</f>
        <v/>
      </c>
      <c r="M546">
        <f>SUM(L546,E546,F546)</f>
        <v/>
      </c>
      <c r="N546">
        <f>IF(L546=0, -1, K546/L546)</f>
        <v/>
      </c>
      <c r="O546">
        <f>IF(M546=0, -1, K546/M546)</f>
        <v/>
      </c>
      <c r="P546">
        <f>IF(M546=0, -1, L546/M546)</f>
        <v/>
      </c>
    </row>
    <row r="547">
      <c r="A547" t="inlineStr">
        <is>
          <t>RC00452</t>
        </is>
      </c>
      <c r="B547" t="inlineStr">
        <is>
          <t>赣南师范大学</t>
        </is>
      </c>
      <c r="C547" t="n">
        <v>0</v>
      </c>
      <c r="D547" t="n">
        <v>0</v>
      </c>
      <c r="E547" t="n">
        <v>17</v>
      </c>
      <c r="F547" t="n">
        <v>25</v>
      </c>
      <c r="G547" t="n">
        <v>88179.43650476169</v>
      </c>
      <c r="H547" t="n">
        <v>216.543247604239</v>
      </c>
      <c r="I547">
        <f>IF(H547=0, 0, G547/H547)</f>
        <v/>
      </c>
      <c r="J547">
        <f>RANK(I547, I$2:I$1111, 0)</f>
        <v/>
      </c>
      <c r="K547">
        <f>SUM(C547)</f>
        <v/>
      </c>
      <c r="L547">
        <f>SUM(K547,D547)</f>
        <v/>
      </c>
      <c r="M547">
        <f>SUM(L547,E547,F547)</f>
        <v/>
      </c>
      <c r="N547">
        <f>IF(L547=0, -1, K547/L547)</f>
        <v/>
      </c>
      <c r="O547">
        <f>IF(M547=0, -1, K547/M547)</f>
        <v/>
      </c>
      <c r="P547">
        <f>IF(M547=0, -1, L547/M547)</f>
        <v/>
      </c>
    </row>
    <row r="548">
      <c r="A548" t="inlineStr">
        <is>
          <t>RC00564</t>
        </is>
      </c>
      <c r="B548" t="inlineStr">
        <is>
          <t>湖北第二师范学院</t>
        </is>
      </c>
      <c r="C548" t="n">
        <v>0</v>
      </c>
      <c r="D548" t="n">
        <v>0</v>
      </c>
      <c r="E548" t="n">
        <v>4</v>
      </c>
      <c r="F548" t="n">
        <v>26</v>
      </c>
      <c r="G548" t="n">
        <v>53599.80603712248</v>
      </c>
      <c r="H548" t="n">
        <v>161.1092276669739</v>
      </c>
      <c r="I548">
        <f>IF(H548=0, 0, G548/H548)</f>
        <v/>
      </c>
      <c r="J548">
        <f>RANK(I548, I$2:I$1111, 0)</f>
        <v/>
      </c>
      <c r="K548">
        <f>SUM(C548)</f>
        <v/>
      </c>
      <c r="L548">
        <f>SUM(K548,D548)</f>
        <v/>
      </c>
      <c r="M548">
        <f>SUM(L548,E548,F548)</f>
        <v/>
      </c>
      <c r="N548">
        <f>IF(L548=0, -1, K548/L548)</f>
        <v/>
      </c>
      <c r="O548">
        <f>IF(M548=0, -1, K548/M548)</f>
        <v/>
      </c>
      <c r="P548">
        <f>IF(M548=0, -1, L548/M548)</f>
        <v/>
      </c>
    </row>
    <row r="549">
      <c r="A549" t="inlineStr">
        <is>
          <t>RC00574</t>
        </is>
      </c>
      <c r="B549" t="inlineStr">
        <is>
          <t>衡阳师范学院</t>
        </is>
      </c>
      <c r="C549" t="n">
        <v>0</v>
      </c>
      <c r="D549" t="n">
        <v>0</v>
      </c>
      <c r="E549" t="n">
        <v>8</v>
      </c>
      <c r="F549" t="n">
        <v>24</v>
      </c>
      <c r="G549" t="n">
        <v>62898.5645819304</v>
      </c>
      <c r="H549" t="n">
        <v>168.2162341198771</v>
      </c>
      <c r="I549">
        <f>IF(H549=0, 0, G549/H549)</f>
        <v/>
      </c>
      <c r="J549">
        <f>RANK(I549, I$2:I$1111, 0)</f>
        <v/>
      </c>
      <c r="K549">
        <f>SUM(C549)</f>
        <v/>
      </c>
      <c r="L549">
        <f>SUM(K549,D549)</f>
        <v/>
      </c>
      <c r="M549">
        <f>SUM(L549,E549,F549)</f>
        <v/>
      </c>
      <c r="N549">
        <f>IF(L549=0, -1, K549/L549)</f>
        <v/>
      </c>
      <c r="O549">
        <f>IF(M549=0, -1, K549/M549)</f>
        <v/>
      </c>
      <c r="P549">
        <f>IF(M549=0, -1, L549/M549)</f>
        <v/>
      </c>
    </row>
    <row r="550">
      <c r="A550" t="inlineStr">
        <is>
          <t>RC00576</t>
        </is>
      </c>
      <c r="B550" t="inlineStr">
        <is>
          <t>怀化学院</t>
        </is>
      </c>
      <c r="C550" t="n">
        <v>0</v>
      </c>
      <c r="D550" t="n">
        <v>0</v>
      </c>
      <c r="E550" t="n">
        <v>4</v>
      </c>
      <c r="F550" t="n">
        <v>15</v>
      </c>
      <c r="G550" t="n">
        <v>34095.93881966238</v>
      </c>
      <c r="H550" t="n">
        <v>101.7842505597829</v>
      </c>
      <c r="I550">
        <f>IF(H550=0, 0, G550/H550)</f>
        <v/>
      </c>
      <c r="J550">
        <f>RANK(I550, I$2:I$1111, 0)</f>
        <v/>
      </c>
      <c r="K550">
        <f>SUM(C550)</f>
        <v/>
      </c>
      <c r="L550">
        <f>SUM(K550,D550)</f>
        <v/>
      </c>
      <c r="M550">
        <f>SUM(L550,E550,F550)</f>
        <v/>
      </c>
      <c r="N550">
        <f>IF(L550=0, -1, K550/L550)</f>
        <v/>
      </c>
      <c r="O550">
        <f>IF(M550=0, -1, K550/M550)</f>
        <v/>
      </c>
      <c r="P550">
        <f>IF(M550=0, -1, L550/M550)</f>
        <v/>
      </c>
    </row>
    <row r="551">
      <c r="A551" t="inlineStr">
        <is>
          <t>RC00682</t>
        </is>
      </c>
      <c r="B551" t="inlineStr">
        <is>
          <t>攀枝花学院</t>
        </is>
      </c>
      <c r="C551" t="n">
        <v>0</v>
      </c>
      <c r="D551" t="n">
        <v>0</v>
      </c>
      <c r="E551" t="n">
        <v>4</v>
      </c>
      <c r="F551" t="n">
        <v>25</v>
      </c>
      <c r="G551" t="n">
        <v>49150.28756709893</v>
      </c>
      <c r="H551" t="n">
        <v>150.6633163309019</v>
      </c>
      <c r="I551">
        <f>IF(H551=0, 0, G551/H551)</f>
        <v/>
      </c>
      <c r="J551">
        <f>RANK(I551, I$2:I$1111, 0)</f>
        <v/>
      </c>
      <c r="K551">
        <f>SUM(C551)</f>
        <v/>
      </c>
      <c r="L551">
        <f>SUM(K551,D551)</f>
        <v/>
      </c>
      <c r="M551">
        <f>SUM(L551,E551,F551)</f>
        <v/>
      </c>
      <c r="N551">
        <f>IF(L551=0, -1, K551/L551)</f>
        <v/>
      </c>
      <c r="O551">
        <f>IF(M551=0, -1, K551/M551)</f>
        <v/>
      </c>
      <c r="P551">
        <f>IF(M551=0, -1, L551/M551)</f>
        <v/>
      </c>
    </row>
    <row r="552">
      <c r="A552" t="inlineStr">
        <is>
          <t>RC00306</t>
        </is>
      </c>
      <c r="B552" t="inlineStr">
        <is>
          <t>黑龙江科技大学</t>
        </is>
      </c>
      <c r="C552" t="n">
        <v>1</v>
      </c>
      <c r="D552" t="n">
        <v>0</v>
      </c>
      <c r="E552" t="n">
        <v>6</v>
      </c>
      <c r="F552" t="n">
        <v>24</v>
      </c>
      <c r="G552" t="n">
        <v>53311.52770874017</v>
      </c>
      <c r="H552" t="n">
        <v>155.7225030220008</v>
      </c>
      <c r="I552">
        <f>IF(H552=0, 0, G552/H552)</f>
        <v/>
      </c>
      <c r="J552">
        <f>RANK(I552, I$2:I$1111, 0)</f>
        <v/>
      </c>
      <c r="K552">
        <f>SUM(C552)</f>
        <v/>
      </c>
      <c r="L552">
        <f>SUM(K552,D552)</f>
        <v/>
      </c>
      <c r="M552">
        <f>SUM(L552,E552,F552)</f>
        <v/>
      </c>
      <c r="N552">
        <f>IF(L552=0, -1, K552/L552)</f>
        <v/>
      </c>
      <c r="O552">
        <f>IF(M552=0, -1, K552/M552)</f>
        <v/>
      </c>
      <c r="P552">
        <f>IF(M552=0, -1, L552/M552)</f>
        <v/>
      </c>
    </row>
    <row r="553">
      <c r="A553" t="inlineStr">
        <is>
          <t>RC00274</t>
        </is>
      </c>
      <c r="B553" t="inlineStr">
        <is>
          <t>大连大学</t>
        </is>
      </c>
      <c r="C553" t="n">
        <v>0</v>
      </c>
      <c r="D553" t="n">
        <v>0</v>
      </c>
      <c r="E553" t="n">
        <v>14</v>
      </c>
      <c r="F553" t="n">
        <v>23</v>
      </c>
      <c r="G553" t="n">
        <v>75216.88674293179</v>
      </c>
      <c r="H553" t="n">
        <v>194.3601704045166</v>
      </c>
      <c r="I553">
        <f>IF(H553=0, 0, G553/H553)</f>
        <v/>
      </c>
      <c r="J553">
        <f>RANK(I553, I$2:I$1111, 0)</f>
        <v/>
      </c>
      <c r="K553">
        <f>SUM(C553)</f>
        <v/>
      </c>
      <c r="L553">
        <f>SUM(K553,D553)</f>
        <v/>
      </c>
      <c r="M553">
        <f>SUM(L553,E553,F553)</f>
        <v/>
      </c>
      <c r="N553">
        <f>IF(L553=0, -1, K553/L553)</f>
        <v/>
      </c>
      <c r="O553">
        <f>IF(M553=0, -1, K553/M553)</f>
        <v/>
      </c>
      <c r="P553">
        <f>IF(M553=0, -1, L553/M553)</f>
        <v/>
      </c>
    </row>
    <row r="554">
      <c r="A554" t="inlineStr">
        <is>
          <t>RC00232</t>
        </is>
      </c>
      <c r="B554" t="inlineStr">
        <is>
          <t>内蒙古科技大学</t>
        </is>
      </c>
      <c r="C554" t="n">
        <v>0</v>
      </c>
      <c r="D554" t="n">
        <v>0</v>
      </c>
      <c r="E554" t="n">
        <v>2</v>
      </c>
      <c r="F554" t="n">
        <v>27</v>
      </c>
      <c r="G554" t="n">
        <v>47206.29136291571</v>
      </c>
      <c r="H554" t="n">
        <v>143.7953571629594</v>
      </c>
      <c r="I554">
        <f>IF(H554=0, 0, G554/H554)</f>
        <v/>
      </c>
      <c r="J554">
        <f>RANK(I554, I$2:I$1111, 0)</f>
        <v/>
      </c>
      <c r="K554">
        <f>SUM(C554)</f>
        <v/>
      </c>
      <c r="L554">
        <f>SUM(K554,D554)</f>
        <v/>
      </c>
      <c r="M554">
        <f>SUM(L554,E554,F554)</f>
        <v/>
      </c>
      <c r="N554">
        <f>IF(L554=0, -1, K554/L554)</f>
        <v/>
      </c>
      <c r="O554">
        <f>IF(M554=0, -1, K554/M554)</f>
        <v/>
      </c>
      <c r="P554">
        <f>IF(M554=0, -1, L554/M554)</f>
        <v/>
      </c>
    </row>
    <row r="555">
      <c r="A555" t="inlineStr">
        <is>
          <t>RC00722</t>
        </is>
      </c>
      <c r="B555" t="inlineStr">
        <is>
          <t>昆明学院</t>
        </is>
      </c>
      <c r="C555" t="n">
        <v>0</v>
      </c>
      <c r="D555" t="n">
        <v>0</v>
      </c>
      <c r="E555" t="n">
        <v>11</v>
      </c>
      <c r="F555" t="n">
        <v>21</v>
      </c>
      <c r="G555" t="n">
        <v>60781.862532309</v>
      </c>
      <c r="H555" t="n">
        <v>163.8899919766934</v>
      </c>
      <c r="I555">
        <f>IF(H555=0, 0, G555/H555)</f>
        <v/>
      </c>
      <c r="J555">
        <f>RANK(I555, I$2:I$1111, 0)</f>
        <v/>
      </c>
      <c r="K555">
        <f>SUM(C555)</f>
        <v/>
      </c>
      <c r="L555">
        <f>SUM(K555,D555)</f>
        <v/>
      </c>
      <c r="M555">
        <f>SUM(L555,E555,F555)</f>
        <v/>
      </c>
      <c r="N555">
        <f>IF(L555=0, -1, K555/L555)</f>
        <v/>
      </c>
      <c r="O555">
        <f>IF(M555=0, -1, K555/M555)</f>
        <v/>
      </c>
      <c r="P555">
        <f>IF(M555=0, -1, L555/M555)</f>
        <v/>
      </c>
    </row>
    <row r="556">
      <c r="A556" t="inlineStr">
        <is>
          <t>RC00600</t>
        </is>
      </c>
      <c r="B556" t="inlineStr">
        <is>
          <t>岭南师范学院</t>
        </is>
      </c>
      <c r="C556" t="n">
        <v>1</v>
      </c>
      <c r="D556" t="n">
        <v>0</v>
      </c>
      <c r="E556" t="n">
        <v>3</v>
      </c>
      <c r="F556" t="n">
        <v>24</v>
      </c>
      <c r="G556" t="n">
        <v>45173.97961726509</v>
      </c>
      <c r="H556" t="n">
        <v>137.7695415273008</v>
      </c>
      <c r="I556">
        <f>IF(H556=0, 0, G556/H556)</f>
        <v/>
      </c>
      <c r="J556">
        <f>RANK(I556, I$2:I$1111, 0)</f>
        <v/>
      </c>
      <c r="K556">
        <f>SUM(C556)</f>
        <v/>
      </c>
      <c r="L556">
        <f>SUM(K556,D556)</f>
        <v/>
      </c>
      <c r="M556">
        <f>SUM(L556,E556,F556)</f>
        <v/>
      </c>
      <c r="N556">
        <f>IF(L556=0, -1, K556/L556)</f>
        <v/>
      </c>
      <c r="O556">
        <f>IF(M556=0, -1, K556/M556)</f>
        <v/>
      </c>
      <c r="P556">
        <f>IF(M556=0, -1, L556/M556)</f>
        <v/>
      </c>
    </row>
    <row r="557">
      <c r="A557" t="inlineStr">
        <is>
          <t>RC00315</t>
        </is>
      </c>
      <c r="B557" t="inlineStr">
        <is>
          <t>齐齐哈尔大学</t>
        </is>
      </c>
      <c r="C557" t="n">
        <v>0</v>
      </c>
      <c r="D557" t="n">
        <v>0</v>
      </c>
      <c r="E557" t="n">
        <v>12</v>
      </c>
      <c r="F557" t="n">
        <v>31</v>
      </c>
      <c r="G557" t="n">
        <v>76126.9094602336</v>
      </c>
      <c r="H557" t="n">
        <v>222.3925308054712</v>
      </c>
      <c r="I557">
        <f>IF(H557=0, 0, G557/H557)</f>
        <v/>
      </c>
      <c r="J557">
        <f>RANK(I557, I$2:I$1111, 0)</f>
        <v/>
      </c>
      <c r="K557">
        <f>SUM(C557)</f>
        <v/>
      </c>
      <c r="L557">
        <f>SUM(K557,D557)</f>
        <v/>
      </c>
      <c r="M557">
        <f>SUM(L557,E557,F557)</f>
        <v/>
      </c>
      <c r="N557">
        <f>IF(L557=0, -1, K557/L557)</f>
        <v/>
      </c>
      <c r="O557">
        <f>IF(M557=0, -1, K557/M557)</f>
        <v/>
      </c>
      <c r="P557">
        <f>IF(M557=0, -1, L557/M557)</f>
        <v/>
      </c>
    </row>
    <row r="558">
      <c r="A558" t="inlineStr">
        <is>
          <t>RC00779</t>
        </is>
      </c>
      <c r="B558" t="inlineStr">
        <is>
          <t>新疆农业大学</t>
        </is>
      </c>
      <c r="C558" t="n">
        <v>1</v>
      </c>
      <c r="D558" t="n">
        <v>0</v>
      </c>
      <c r="E558" t="n">
        <v>1</v>
      </c>
      <c r="F558" t="n">
        <v>19</v>
      </c>
      <c r="G558" t="n">
        <v>30031.45551305747</v>
      </c>
      <c r="H558" t="n">
        <v>93.30683833719553</v>
      </c>
      <c r="I558">
        <f>IF(H558=0, 0, G558/H558)</f>
        <v/>
      </c>
      <c r="J558">
        <f>RANK(I558, I$2:I$1111, 0)</f>
        <v/>
      </c>
      <c r="K558">
        <f>SUM(C558)</f>
        <v/>
      </c>
      <c r="L558">
        <f>SUM(K558,D558)</f>
        <v/>
      </c>
      <c r="M558">
        <f>SUM(L558,E558,F558)</f>
        <v/>
      </c>
      <c r="N558">
        <f>IF(L558=0, -1, K558/L558)</f>
        <v/>
      </c>
      <c r="O558">
        <f>IF(M558=0, -1, K558/M558)</f>
        <v/>
      </c>
      <c r="P558">
        <f>IF(M558=0, -1, L558/M558)</f>
        <v/>
      </c>
    </row>
    <row r="559">
      <c r="A559" t="inlineStr">
        <is>
          <t>RC00813</t>
        </is>
      </c>
      <c r="B559" t="inlineStr">
        <is>
          <t>福建技术师范学院</t>
        </is>
      </c>
      <c r="C559" t="n">
        <v>0</v>
      </c>
      <c r="D559" t="n">
        <v>0</v>
      </c>
      <c r="E559" t="n">
        <v>1</v>
      </c>
      <c r="F559" t="n">
        <v>11</v>
      </c>
      <c r="G559" t="n">
        <v>17408.59524118282</v>
      </c>
      <c r="H559" t="n">
        <v>52.35908187763936</v>
      </c>
      <c r="I559">
        <f>IF(H559=0, 0, G559/H559)</f>
        <v/>
      </c>
      <c r="J559">
        <f>RANK(I559, I$2:I$1111, 0)</f>
        <v/>
      </c>
      <c r="K559">
        <f>SUM(C559)</f>
        <v/>
      </c>
      <c r="L559">
        <f>SUM(K559,D559)</f>
        <v/>
      </c>
      <c r="M559">
        <f>SUM(L559,E559,F559)</f>
        <v/>
      </c>
      <c r="N559">
        <f>IF(L559=0, -1, K559/L559)</f>
        <v/>
      </c>
      <c r="O559">
        <f>IF(M559=0, -1, K559/M559)</f>
        <v/>
      </c>
      <c r="P559">
        <f>IF(M559=0, -1, L559/M559)</f>
        <v/>
      </c>
    </row>
    <row r="560">
      <c r="A560" t="inlineStr">
        <is>
          <t>RC00307</t>
        </is>
      </c>
      <c r="B560" t="inlineStr">
        <is>
          <t>东北石油大学</t>
        </is>
      </c>
      <c r="C560" t="n">
        <v>0</v>
      </c>
      <c r="D560" t="n">
        <v>0</v>
      </c>
      <c r="E560" t="n">
        <v>18</v>
      </c>
      <c r="F560" t="n">
        <v>23</v>
      </c>
      <c r="G560" t="n">
        <v>84238.55886884783</v>
      </c>
      <c r="H560" t="n">
        <v>201.401861820343</v>
      </c>
      <c r="I560">
        <f>IF(H560=0, 0, G560/H560)</f>
        <v/>
      </c>
      <c r="J560">
        <f>RANK(I560, I$2:I$1111, 0)</f>
        <v/>
      </c>
      <c r="K560">
        <f>SUM(C560)</f>
        <v/>
      </c>
      <c r="L560">
        <f>SUM(K560,D560)</f>
        <v/>
      </c>
      <c r="M560">
        <f>SUM(L560,E560,F560)</f>
        <v/>
      </c>
      <c r="N560">
        <f>IF(L560=0, -1, K560/L560)</f>
        <v/>
      </c>
      <c r="O560">
        <f>IF(M560=0, -1, K560/M560)</f>
        <v/>
      </c>
      <c r="P560">
        <f>IF(M560=0, -1, L560/M560)</f>
        <v/>
      </c>
    </row>
    <row r="561">
      <c r="A561" t="inlineStr">
        <is>
          <t>RC00547</t>
        </is>
      </c>
      <c r="B561" t="inlineStr">
        <is>
          <t>湖北文理学院</t>
        </is>
      </c>
      <c r="C561" t="n">
        <v>0</v>
      </c>
      <c r="D561" t="n">
        <v>0</v>
      </c>
      <c r="E561" t="n">
        <v>7</v>
      </c>
      <c r="F561" t="n">
        <v>30</v>
      </c>
      <c r="G561" t="n">
        <v>67982.13774807136</v>
      </c>
      <c r="H561" t="n">
        <v>197.2074222773083</v>
      </c>
      <c r="I561">
        <f>IF(H561=0, 0, G561/H561)</f>
        <v/>
      </c>
      <c r="J561">
        <f>RANK(I561, I$2:I$1111, 0)</f>
        <v/>
      </c>
      <c r="K561">
        <f>SUM(C561)</f>
        <v/>
      </c>
      <c r="L561">
        <f>SUM(K561,D561)</f>
        <v/>
      </c>
      <c r="M561">
        <f>SUM(L561,E561,F561)</f>
        <v/>
      </c>
      <c r="N561">
        <f>IF(L561=0, -1, K561/L561)</f>
        <v/>
      </c>
      <c r="O561">
        <f>IF(M561=0, -1, K561/M561)</f>
        <v/>
      </c>
      <c r="P561">
        <f>IF(M561=0, -1, L561/M561)</f>
        <v/>
      </c>
    </row>
    <row r="562">
      <c r="A562" t="inlineStr">
        <is>
          <t>RC00264</t>
        </is>
      </c>
      <c r="B562" t="inlineStr">
        <is>
          <t>沈阳师范大学</t>
        </is>
      </c>
      <c r="C562" t="n">
        <v>0</v>
      </c>
      <c r="D562" t="n">
        <v>3</v>
      </c>
      <c r="E562" t="n">
        <v>23</v>
      </c>
      <c r="F562" t="n">
        <v>18</v>
      </c>
      <c r="G562" t="n">
        <v>102814.2223879335</v>
      </c>
      <c r="H562" t="n">
        <v>227.8968919068099</v>
      </c>
      <c r="I562">
        <f>IF(H562=0, 0, G562/H562)</f>
        <v/>
      </c>
      <c r="J562">
        <f>RANK(I562, I$2:I$1111, 0)</f>
        <v/>
      </c>
      <c r="K562">
        <f>SUM(C562)</f>
        <v/>
      </c>
      <c r="L562">
        <f>SUM(K562,D562)</f>
        <v/>
      </c>
      <c r="M562">
        <f>SUM(L562,E562,F562)</f>
        <v/>
      </c>
      <c r="N562">
        <f>IF(L562=0, -1, K562/L562)</f>
        <v/>
      </c>
      <c r="O562">
        <f>IF(M562=0, -1, K562/M562)</f>
        <v/>
      </c>
      <c r="P562">
        <f>IF(M562=0, -1, L562/M562)</f>
        <v/>
      </c>
    </row>
    <row r="563">
      <c r="A563" t="inlineStr">
        <is>
          <t>RC00517</t>
        </is>
      </c>
      <c r="B563" t="inlineStr">
        <is>
          <t>安阳师范学院</t>
        </is>
      </c>
      <c r="C563" t="n">
        <v>0</v>
      </c>
      <c r="D563" t="n">
        <v>0</v>
      </c>
      <c r="E563" t="n">
        <v>2</v>
      </c>
      <c r="F563" t="n">
        <v>23</v>
      </c>
      <c r="G563" t="n">
        <v>41995.96230960271</v>
      </c>
      <c r="H563" t="n">
        <v>129.6809353572305</v>
      </c>
      <c r="I563">
        <f>IF(H563=0, 0, G563/H563)</f>
        <v/>
      </c>
      <c r="J563">
        <f>RANK(I563, I$2:I$1111, 0)</f>
        <v/>
      </c>
      <c r="K563">
        <f>SUM(C563)</f>
        <v/>
      </c>
      <c r="L563">
        <f>SUM(K563,D563)</f>
        <v/>
      </c>
      <c r="M563">
        <f>SUM(L563,E563,F563)</f>
        <v/>
      </c>
      <c r="N563">
        <f>IF(L563=0, -1, K563/L563)</f>
        <v/>
      </c>
      <c r="O563">
        <f>IF(M563=0, -1, K563/M563)</f>
        <v/>
      </c>
      <c r="P563">
        <f>IF(M563=0, -1, L563/M563)</f>
        <v/>
      </c>
    </row>
    <row r="564">
      <c r="A564" t="inlineStr">
        <is>
          <t>RC00289</t>
        </is>
      </c>
      <c r="B564" t="inlineStr">
        <is>
          <t>北华大学</t>
        </is>
      </c>
      <c r="C564" t="n">
        <v>0</v>
      </c>
      <c r="D564" t="n">
        <v>0</v>
      </c>
      <c r="E564" t="n">
        <v>12</v>
      </c>
      <c r="F564" t="n">
        <v>38</v>
      </c>
      <c r="G564" t="n">
        <v>94731.1300604924</v>
      </c>
      <c r="H564" t="n">
        <v>260.6572031795823</v>
      </c>
      <c r="I564">
        <f>IF(H564=0, 0, G564/H564)</f>
        <v/>
      </c>
      <c r="J564">
        <f>RANK(I564, I$2:I$1111, 0)</f>
        <v/>
      </c>
      <c r="K564">
        <f>SUM(C564)</f>
        <v/>
      </c>
      <c r="L564">
        <f>SUM(K564,D564)</f>
        <v/>
      </c>
      <c r="M564">
        <f>SUM(L564,E564,F564)</f>
        <v/>
      </c>
      <c r="N564">
        <f>IF(L564=0, -1, K564/L564)</f>
        <v/>
      </c>
      <c r="O564">
        <f>IF(M564=0, -1, K564/M564)</f>
        <v/>
      </c>
      <c r="P564">
        <f>IF(M564=0, -1, L564/M564)</f>
        <v/>
      </c>
    </row>
    <row r="565">
      <c r="A565" t="inlineStr">
        <is>
          <t>RC00197</t>
        </is>
      </c>
      <c r="B565" t="inlineStr">
        <is>
          <t>邢台学院</t>
        </is>
      </c>
      <c r="C565" t="n">
        <v>0</v>
      </c>
      <c r="D565" t="n">
        <v>0</v>
      </c>
      <c r="E565" t="n">
        <v>3</v>
      </c>
      <c r="F565" t="n">
        <v>6</v>
      </c>
      <c r="G565" t="n">
        <v>15172.78821551105</v>
      </c>
      <c r="H565" t="n">
        <v>44.38391208241259</v>
      </c>
      <c r="I565">
        <f>IF(H565=0, 0, G565/H565)</f>
        <v/>
      </c>
      <c r="J565">
        <f>RANK(I565, I$2:I$1111, 0)</f>
        <v/>
      </c>
      <c r="K565">
        <f>SUM(C565)</f>
        <v/>
      </c>
      <c r="L565">
        <f>SUM(K565,D565)</f>
        <v/>
      </c>
      <c r="M565">
        <f>SUM(L565,E565,F565)</f>
        <v/>
      </c>
      <c r="N565">
        <f>IF(L565=0, -1, K565/L565)</f>
        <v/>
      </c>
      <c r="O565">
        <f>IF(M565=0, -1, K565/M565)</f>
        <v/>
      </c>
      <c r="P565">
        <f>IF(M565=0, -1, L565/M565)</f>
        <v/>
      </c>
    </row>
    <row r="566">
      <c r="A566" t="inlineStr">
        <is>
          <t>RC00828</t>
        </is>
      </c>
      <c r="B566" t="inlineStr">
        <is>
          <t>辽宁对外经贸学院</t>
        </is>
      </c>
      <c r="C566" t="n">
        <v>0</v>
      </c>
      <c r="D566" t="n">
        <v>0</v>
      </c>
      <c r="E566" t="n">
        <v>1</v>
      </c>
      <c r="F566" t="n">
        <v>5</v>
      </c>
      <c r="G566" t="n">
        <v>7828.107147364444</v>
      </c>
      <c r="H566" t="n">
        <v>30.66381049561528</v>
      </c>
      <c r="I566">
        <f>IF(H566=0, 0, G566/H566)</f>
        <v/>
      </c>
      <c r="J566">
        <f>RANK(I566, I$2:I$1111, 0)</f>
        <v/>
      </c>
      <c r="K566">
        <f>SUM(C566)</f>
        <v/>
      </c>
      <c r="L566">
        <f>SUM(K566,D566)</f>
        <v/>
      </c>
      <c r="M566">
        <f>SUM(L566,E566,F566)</f>
        <v/>
      </c>
      <c r="N566">
        <f>IF(L566=0, -1, K566/L566)</f>
        <v/>
      </c>
      <c r="O566">
        <f>IF(M566=0, -1, K566/M566)</f>
        <v/>
      </c>
      <c r="P566">
        <f>IF(M566=0, -1, L566/M566)</f>
        <v/>
      </c>
    </row>
    <row r="567">
      <c r="A567" t="inlineStr">
        <is>
          <t>RC00868</t>
        </is>
      </c>
      <c r="B567" t="inlineStr">
        <is>
          <t>浙江越秀外国语学院</t>
        </is>
      </c>
      <c r="C567" t="n">
        <v>0</v>
      </c>
      <c r="D567" t="n">
        <v>0</v>
      </c>
      <c r="E567" t="n">
        <v>1</v>
      </c>
      <c r="F567" t="n">
        <v>12</v>
      </c>
      <c r="G567" t="n">
        <v>20834.27630188096</v>
      </c>
      <c r="H567" t="n">
        <v>59.84507134034508</v>
      </c>
      <c r="I567">
        <f>IF(H567=0, 0, G567/H567)</f>
        <v/>
      </c>
      <c r="J567">
        <f>RANK(I567, I$2:I$1111, 0)</f>
        <v/>
      </c>
      <c r="K567">
        <f>SUM(C567)</f>
        <v/>
      </c>
      <c r="L567">
        <f>SUM(K567,D567)</f>
        <v/>
      </c>
      <c r="M567">
        <f>SUM(L567,E567,F567)</f>
        <v/>
      </c>
      <c r="N567">
        <f>IF(L567=0, -1, K567/L567)</f>
        <v/>
      </c>
      <c r="O567">
        <f>IF(M567=0, -1, K567/M567)</f>
        <v/>
      </c>
      <c r="P567">
        <f>IF(M567=0, -1, L567/M567)</f>
        <v/>
      </c>
    </row>
    <row r="568">
      <c r="A568" t="inlineStr">
        <is>
          <t>RC00385</t>
        </is>
      </c>
      <c r="B568" t="inlineStr">
        <is>
          <t>丽水学院</t>
        </is>
      </c>
      <c r="C568" t="n">
        <v>0</v>
      </c>
      <c r="D568" t="n">
        <v>0</v>
      </c>
      <c r="E568" t="n">
        <v>7</v>
      </c>
      <c r="F568" t="n">
        <v>15</v>
      </c>
      <c r="G568" t="n">
        <v>41594.71886743271</v>
      </c>
      <c r="H568" t="n">
        <v>113.8470003585084</v>
      </c>
      <c r="I568">
        <f>IF(H568=0, 0, G568/H568)</f>
        <v/>
      </c>
      <c r="J568">
        <f>RANK(I568, I$2:I$1111, 0)</f>
        <v/>
      </c>
      <c r="K568">
        <f>SUM(C568)</f>
        <v/>
      </c>
      <c r="L568">
        <f>SUM(K568,D568)</f>
        <v/>
      </c>
      <c r="M568">
        <f>SUM(L568,E568,F568)</f>
        <v/>
      </c>
      <c r="N568">
        <f>IF(L568=0, -1, K568/L568)</f>
        <v/>
      </c>
      <c r="O568">
        <f>IF(M568=0, -1, K568/M568)</f>
        <v/>
      </c>
      <c r="P568">
        <f>IF(M568=0, -1, L568/M568)</f>
        <v/>
      </c>
    </row>
    <row r="569">
      <c r="A569" t="inlineStr">
        <is>
          <t>RC00237</t>
        </is>
      </c>
      <c r="B569" t="inlineStr">
        <is>
          <t>内蒙古民族大学</t>
        </is>
      </c>
      <c r="C569" t="n">
        <v>0</v>
      </c>
      <c r="D569" t="n">
        <v>0</v>
      </c>
      <c r="E569" t="n">
        <v>2</v>
      </c>
      <c r="F569" t="n">
        <v>18</v>
      </c>
      <c r="G569" t="n">
        <v>34474.23652016094</v>
      </c>
      <c r="H569" t="n">
        <v>104.0661376075194</v>
      </c>
      <c r="I569">
        <f>IF(H569=0, 0, G569/H569)</f>
        <v/>
      </c>
      <c r="J569">
        <f>RANK(I569, I$2:I$1111, 0)</f>
        <v/>
      </c>
      <c r="K569">
        <f>SUM(C569)</f>
        <v/>
      </c>
      <c r="L569">
        <f>SUM(K569,D569)</f>
        <v/>
      </c>
      <c r="M569">
        <f>SUM(L569,E569,F569)</f>
        <v/>
      </c>
      <c r="N569">
        <f>IF(L569=0, -1, K569/L569)</f>
        <v/>
      </c>
      <c r="O569">
        <f>IF(M569=0, -1, K569/M569)</f>
        <v/>
      </c>
      <c r="P569">
        <f>IF(M569=0, -1, L569/M569)</f>
        <v/>
      </c>
    </row>
    <row r="570">
      <c r="A570" t="inlineStr">
        <is>
          <t>RC00363</t>
        </is>
      </c>
      <c r="B570" t="inlineStr">
        <is>
          <t>常州工学院</t>
        </is>
      </c>
      <c r="C570" t="n">
        <v>0</v>
      </c>
      <c r="D570" t="n">
        <v>1</v>
      </c>
      <c r="E570" t="n">
        <v>15</v>
      </c>
      <c r="F570" t="n">
        <v>21</v>
      </c>
      <c r="G570" t="n">
        <v>73974.54307348213</v>
      </c>
      <c r="H570" t="n">
        <v>191.9815465468145</v>
      </c>
      <c r="I570">
        <f>IF(H570=0, 0, G570/H570)</f>
        <v/>
      </c>
      <c r="J570">
        <f>RANK(I570, I$2:I$1111, 0)</f>
        <v/>
      </c>
      <c r="K570">
        <f>SUM(C570)</f>
        <v/>
      </c>
      <c r="L570">
        <f>SUM(K570,D570)</f>
        <v/>
      </c>
      <c r="M570">
        <f>SUM(L570,E570,F570)</f>
        <v/>
      </c>
      <c r="N570">
        <f>IF(L570=0, -1, K570/L570)</f>
        <v/>
      </c>
      <c r="O570">
        <f>IF(M570=0, -1, K570/M570)</f>
        <v/>
      </c>
      <c r="P570">
        <f>IF(M570=0, -1, L570/M570)</f>
        <v/>
      </c>
    </row>
    <row r="571">
      <c r="A571" t="inlineStr">
        <is>
          <t>RC00291</t>
        </is>
      </c>
      <c r="B571" t="inlineStr">
        <is>
          <t>吉林师范大学</t>
        </is>
      </c>
      <c r="C571" t="n">
        <v>0</v>
      </c>
      <c r="D571" t="n">
        <v>0</v>
      </c>
      <c r="E571" t="n">
        <v>10</v>
      </c>
      <c r="F571" t="n">
        <v>33</v>
      </c>
      <c r="G571" t="n">
        <v>82437.3536417554</v>
      </c>
      <c r="H571" t="n">
        <v>223.9827468363872</v>
      </c>
      <c r="I571">
        <f>IF(H571=0, 0, G571/H571)</f>
        <v/>
      </c>
      <c r="J571">
        <f>RANK(I571, I$2:I$1111, 0)</f>
        <v/>
      </c>
      <c r="K571">
        <f>SUM(C571)</f>
        <v/>
      </c>
      <c r="L571">
        <f>SUM(K571,D571)</f>
        <v/>
      </c>
      <c r="M571">
        <f>SUM(L571,E571,F571)</f>
        <v/>
      </c>
      <c r="N571">
        <f>IF(L571=0, -1, K571/L571)</f>
        <v/>
      </c>
      <c r="O571">
        <f>IF(M571=0, -1, K571/M571)</f>
        <v/>
      </c>
      <c r="P571">
        <f>IF(M571=0, -1, L571/M571)</f>
        <v/>
      </c>
    </row>
    <row r="572">
      <c r="A572" t="inlineStr">
        <is>
          <t>RC00606</t>
        </is>
      </c>
      <c r="B572" t="inlineStr">
        <is>
          <t>广东技术师范大学</t>
        </is>
      </c>
      <c r="C572" t="n">
        <v>1</v>
      </c>
      <c r="D572" t="n">
        <v>0</v>
      </c>
      <c r="E572" t="n">
        <v>17</v>
      </c>
      <c r="F572" t="n">
        <v>30</v>
      </c>
      <c r="G572" t="n">
        <v>93298.83902832135</v>
      </c>
      <c r="H572" t="n">
        <v>247.9638844174127</v>
      </c>
      <c r="I572">
        <f>IF(H572=0, 0, G572/H572)</f>
        <v/>
      </c>
      <c r="J572">
        <f>RANK(I572, I$2:I$1111, 0)</f>
        <v/>
      </c>
      <c r="K572">
        <f>SUM(C572)</f>
        <v/>
      </c>
      <c r="L572">
        <f>SUM(K572,D572)</f>
        <v/>
      </c>
      <c r="M572">
        <f>SUM(L572,E572,F572)</f>
        <v/>
      </c>
      <c r="N572">
        <f>IF(L572=0, -1, K572/L572)</f>
        <v/>
      </c>
      <c r="O572">
        <f>IF(M572=0, -1, K572/M572)</f>
        <v/>
      </c>
      <c r="P572">
        <f>IF(M572=0, -1, L572/M572)</f>
        <v/>
      </c>
    </row>
    <row r="573">
      <c r="A573" t="inlineStr">
        <is>
          <t>RC00614</t>
        </is>
      </c>
      <c r="B573" t="inlineStr">
        <is>
          <t>广东石油化工学院</t>
        </is>
      </c>
      <c r="C573" t="n">
        <v>0</v>
      </c>
      <c r="D573" t="n">
        <v>0</v>
      </c>
      <c r="E573" t="n">
        <v>3</v>
      </c>
      <c r="F573" t="n">
        <v>20</v>
      </c>
      <c r="G573" t="n">
        <v>37224.21512297492</v>
      </c>
      <c r="H573" t="n">
        <v>118.1656768461152</v>
      </c>
      <c r="I573">
        <f>IF(H573=0, 0, G573/H573)</f>
        <v/>
      </c>
      <c r="J573">
        <f>RANK(I573, I$2:I$1111, 0)</f>
        <v/>
      </c>
      <c r="K573">
        <f>SUM(C573)</f>
        <v/>
      </c>
      <c r="L573">
        <f>SUM(K573,D573)</f>
        <v/>
      </c>
      <c r="M573">
        <f>SUM(L573,E573,F573)</f>
        <v/>
      </c>
      <c r="N573">
        <f>IF(L573=0, -1, K573/L573)</f>
        <v/>
      </c>
      <c r="O573">
        <f>IF(M573=0, -1, K573/M573)</f>
        <v/>
      </c>
      <c r="P573">
        <f>IF(M573=0, -1, L573/M573)</f>
        <v/>
      </c>
    </row>
    <row r="574">
      <c r="A574" t="inlineStr">
        <is>
          <t>RC00194</t>
        </is>
      </c>
      <c r="B574" t="inlineStr">
        <is>
          <t>衡水学院</t>
        </is>
      </c>
      <c r="C574" t="n">
        <v>0</v>
      </c>
      <c r="D574" t="n">
        <v>0</v>
      </c>
      <c r="E574" t="n">
        <v>0</v>
      </c>
      <c r="F574" t="n">
        <v>12</v>
      </c>
      <c r="G574" t="n">
        <v>18868.98922746387</v>
      </c>
      <c r="H574" t="n">
        <v>63.35275060023217</v>
      </c>
      <c r="I574">
        <f>IF(H574=0, 0, G574/H574)</f>
        <v/>
      </c>
      <c r="J574">
        <f>RANK(I574, I$2:I$1111, 0)</f>
        <v/>
      </c>
      <c r="K574">
        <f>SUM(C574)</f>
        <v/>
      </c>
      <c r="L574">
        <f>SUM(K574,D574)</f>
        <v/>
      </c>
      <c r="M574">
        <f>SUM(L574,E574,F574)</f>
        <v/>
      </c>
      <c r="N574">
        <f>IF(L574=0, -1, K574/L574)</f>
        <v/>
      </c>
      <c r="O574">
        <f>IF(M574=0, -1, K574/M574)</f>
        <v/>
      </c>
      <c r="P574">
        <f>IF(M574=0, -1, L574/M574)</f>
        <v/>
      </c>
    </row>
    <row r="575">
      <c r="A575" t="inlineStr">
        <is>
          <t>RC00634</t>
        </is>
      </c>
      <c r="B575" t="inlineStr">
        <is>
          <t>百色学院</t>
        </is>
      </c>
      <c r="C575" t="n">
        <v>0</v>
      </c>
      <c r="D575" t="n">
        <v>0</v>
      </c>
      <c r="E575" t="n">
        <v>1</v>
      </c>
      <c r="F575" t="n">
        <v>10</v>
      </c>
      <c r="G575" t="n">
        <v>17206.31408280817</v>
      </c>
      <c r="H575" t="n">
        <v>59.73737049887347</v>
      </c>
      <c r="I575">
        <f>IF(H575=0, 0, G575/H575)</f>
        <v/>
      </c>
      <c r="J575">
        <f>RANK(I575, I$2:I$1111, 0)</f>
        <v/>
      </c>
      <c r="K575">
        <f>SUM(C575)</f>
        <v/>
      </c>
      <c r="L575">
        <f>SUM(K575,D575)</f>
        <v/>
      </c>
      <c r="M575">
        <f>SUM(L575,E575,F575)</f>
        <v/>
      </c>
      <c r="N575">
        <f>IF(L575=0, -1, K575/L575)</f>
        <v/>
      </c>
      <c r="O575">
        <f>IF(M575=0, -1, K575/M575)</f>
        <v/>
      </c>
      <c r="P575">
        <f>IF(M575=0, -1, L575/M575)</f>
        <v/>
      </c>
    </row>
    <row r="576">
      <c r="A576" t="inlineStr">
        <is>
          <t>RC01047</t>
        </is>
      </c>
      <c r="B576" t="inlineStr">
        <is>
          <t>南京审计大学金审学院</t>
        </is>
      </c>
      <c r="C576" t="n">
        <v>0</v>
      </c>
      <c r="D576" t="n">
        <v>0</v>
      </c>
      <c r="E576" t="n">
        <v>2</v>
      </c>
      <c r="F576" t="n">
        <v>2</v>
      </c>
      <c r="G576" t="n">
        <v>6307.009205402685</v>
      </c>
      <c r="H576" t="n">
        <v>20.30232932551491</v>
      </c>
      <c r="I576">
        <f>IF(H576=0, 0, G576/H576)</f>
        <v/>
      </c>
      <c r="J576">
        <f>RANK(I576, I$2:I$1111, 0)</f>
        <v/>
      </c>
      <c r="K576">
        <f>SUM(C576)</f>
        <v/>
      </c>
      <c r="L576">
        <f>SUM(K576,D576)</f>
        <v/>
      </c>
      <c r="M576">
        <f>SUM(L576,E576,F576)</f>
        <v/>
      </c>
      <c r="N576">
        <f>IF(L576=0, -1, K576/L576)</f>
        <v/>
      </c>
      <c r="O576">
        <f>IF(M576=0, -1, K576/M576)</f>
        <v/>
      </c>
      <c r="P576">
        <f>IF(M576=0, -1, L576/M576)</f>
        <v/>
      </c>
    </row>
    <row r="577">
      <c r="A577" t="inlineStr">
        <is>
          <t>RC00856</t>
        </is>
      </c>
      <c r="B577" t="inlineStr">
        <is>
          <t>上海杉达学院</t>
        </is>
      </c>
      <c r="C577" t="n">
        <v>0</v>
      </c>
      <c r="D577" t="n">
        <v>0</v>
      </c>
      <c r="E577" t="n">
        <v>1</v>
      </c>
      <c r="F577" t="n">
        <v>7</v>
      </c>
      <c r="G577" t="n">
        <v>13502.62535775774</v>
      </c>
      <c r="H577" t="n">
        <v>40.62058959272243</v>
      </c>
      <c r="I577">
        <f>IF(H577=0, 0, G577/H577)</f>
        <v/>
      </c>
      <c r="J577">
        <f>RANK(I577, I$2:I$1111, 0)</f>
        <v/>
      </c>
      <c r="K577">
        <f>SUM(C577)</f>
        <v/>
      </c>
      <c r="L577">
        <f>SUM(K577,D577)</f>
        <v/>
      </c>
      <c r="M577">
        <f>SUM(L577,E577,F577)</f>
        <v/>
      </c>
      <c r="N577">
        <f>IF(L577=0, -1, K577/L577)</f>
        <v/>
      </c>
      <c r="O577">
        <f>IF(M577=0, -1, K577/M577)</f>
        <v/>
      </c>
      <c r="P577">
        <f>IF(M577=0, -1, L577/M577)</f>
        <v/>
      </c>
    </row>
    <row r="578">
      <c r="A578" t="inlineStr">
        <is>
          <t>RC00598</t>
        </is>
      </c>
      <c r="B578" t="inlineStr">
        <is>
          <t>惠州学院</t>
        </is>
      </c>
      <c r="C578" t="n">
        <v>0</v>
      </c>
      <c r="D578" t="n">
        <v>0</v>
      </c>
      <c r="E578" t="n">
        <v>4</v>
      </c>
      <c r="F578" t="n">
        <v>24</v>
      </c>
      <c r="G578" t="n">
        <v>50722.67483281742</v>
      </c>
      <c r="H578" t="n">
        <v>147.5390930079699</v>
      </c>
      <c r="I578">
        <f>IF(H578=0, 0, G578/H578)</f>
        <v/>
      </c>
      <c r="J578">
        <f>RANK(I578, I$2:I$1111, 0)</f>
        <v/>
      </c>
      <c r="K578">
        <f>SUM(C578)</f>
        <v/>
      </c>
      <c r="L578">
        <f>SUM(K578,D578)</f>
        <v/>
      </c>
      <c r="M578">
        <f>SUM(L578,E578,F578)</f>
        <v/>
      </c>
      <c r="N578">
        <f>IF(L578=0, -1, K578/L578)</f>
        <v/>
      </c>
      <c r="O578">
        <f>IF(M578=0, -1, K578/M578)</f>
        <v/>
      </c>
      <c r="P578">
        <f>IF(M578=0, -1, L578/M578)</f>
        <v/>
      </c>
    </row>
    <row r="579">
      <c r="A579" t="inlineStr">
        <is>
          <t>RC00168</t>
        </is>
      </c>
      <c r="B579" t="inlineStr">
        <is>
          <t>天津农学院</t>
        </is>
      </c>
      <c r="C579" t="n">
        <v>0</v>
      </c>
      <c r="D579" t="n">
        <v>0</v>
      </c>
      <c r="E579" t="n">
        <v>2</v>
      </c>
      <c r="F579" t="n">
        <v>20</v>
      </c>
      <c r="G579" t="n">
        <v>38489.73981842965</v>
      </c>
      <c r="H579" t="n">
        <v>110.4944469247479</v>
      </c>
      <c r="I579">
        <f>IF(H579=0, 0, G579/H579)</f>
        <v/>
      </c>
      <c r="J579">
        <f>RANK(I579, I$2:I$1111, 0)</f>
        <v/>
      </c>
      <c r="K579">
        <f>SUM(C579)</f>
        <v/>
      </c>
      <c r="L579">
        <f>SUM(K579,D579)</f>
        <v/>
      </c>
      <c r="M579">
        <f>SUM(L579,E579,F579)</f>
        <v/>
      </c>
      <c r="N579">
        <f>IF(L579=0, -1, K579/L579)</f>
        <v/>
      </c>
      <c r="O579">
        <f>IF(M579=0, -1, K579/M579)</f>
        <v/>
      </c>
      <c r="P579">
        <f>IF(M579=0, -1, L579/M579)</f>
        <v/>
      </c>
    </row>
    <row r="580">
      <c r="A580" t="inlineStr">
        <is>
          <t>RC00240</t>
        </is>
      </c>
      <c r="B580" t="inlineStr">
        <is>
          <t>呼伦贝尔学院</t>
        </is>
      </c>
      <c r="C580" t="n">
        <v>0</v>
      </c>
      <c r="D580" t="n">
        <v>0</v>
      </c>
      <c r="E580" t="n">
        <v>0</v>
      </c>
      <c r="F580" t="n">
        <v>8</v>
      </c>
      <c r="G580" t="n">
        <v>13232.1258509367</v>
      </c>
      <c r="H580" t="n">
        <v>38.27198922424795</v>
      </c>
      <c r="I580">
        <f>IF(H580=0, 0, G580/H580)</f>
        <v/>
      </c>
      <c r="J580">
        <f>RANK(I580, I$2:I$1111, 0)</f>
        <v/>
      </c>
      <c r="K580">
        <f>SUM(C580)</f>
        <v/>
      </c>
      <c r="L580">
        <f>SUM(K580,D580)</f>
        <v/>
      </c>
      <c r="M580">
        <f>SUM(L580,E580,F580)</f>
        <v/>
      </c>
      <c r="N580">
        <f>IF(L580=0, -1, K580/L580)</f>
        <v/>
      </c>
      <c r="O580">
        <f>IF(M580=0, -1, K580/M580)</f>
        <v/>
      </c>
      <c r="P580">
        <f>IF(M580=0, -1, L580/M580)</f>
        <v/>
      </c>
    </row>
    <row r="581">
      <c r="A581" t="inlineStr">
        <is>
          <t>RC00308</t>
        </is>
      </c>
      <c r="B581" t="inlineStr">
        <is>
          <t>佳木斯大学</t>
        </is>
      </c>
      <c r="C581" t="n">
        <v>0</v>
      </c>
      <c r="D581" t="n">
        <v>0</v>
      </c>
      <c r="E581" t="n">
        <v>6</v>
      </c>
      <c r="F581" t="n">
        <v>29</v>
      </c>
      <c r="G581" t="n">
        <v>61597.0003883804</v>
      </c>
      <c r="H581" t="n">
        <v>178.2043827978007</v>
      </c>
      <c r="I581">
        <f>IF(H581=0, 0, G581/H581)</f>
        <v/>
      </c>
      <c r="J581">
        <f>RANK(I581, I$2:I$1111, 0)</f>
        <v/>
      </c>
      <c r="K581">
        <f>SUM(C581)</f>
        <v/>
      </c>
      <c r="L581">
        <f>SUM(K581,D581)</f>
        <v/>
      </c>
      <c r="M581">
        <f>SUM(L581,E581,F581)</f>
        <v/>
      </c>
      <c r="N581">
        <f>IF(L581=0, -1, K581/L581)</f>
        <v/>
      </c>
      <c r="O581">
        <f>IF(M581=0, -1, K581/M581)</f>
        <v/>
      </c>
      <c r="P581">
        <f>IF(M581=0, -1, L581/M581)</f>
        <v/>
      </c>
    </row>
    <row r="582">
      <c r="A582" t="inlineStr">
        <is>
          <t>RC00783</t>
        </is>
      </c>
      <c r="B582" t="inlineStr">
        <is>
          <t>喀什大学</t>
        </is>
      </c>
      <c r="C582" t="n">
        <v>0</v>
      </c>
      <c r="D582" t="n">
        <v>0</v>
      </c>
      <c r="E582" t="n">
        <v>2</v>
      </c>
      <c r="F582" t="n">
        <v>11</v>
      </c>
      <c r="G582" t="n">
        <v>19644.57154506319</v>
      </c>
      <c r="H582" t="n">
        <v>60.0131559619002</v>
      </c>
      <c r="I582">
        <f>IF(H582=0, 0, G582/H582)</f>
        <v/>
      </c>
      <c r="J582">
        <f>RANK(I582, I$2:I$1111, 0)</f>
        <v/>
      </c>
      <c r="K582">
        <f>SUM(C582)</f>
        <v/>
      </c>
      <c r="L582">
        <f>SUM(K582,D582)</f>
        <v/>
      </c>
      <c r="M582">
        <f>SUM(L582,E582,F582)</f>
        <v/>
      </c>
      <c r="N582">
        <f>IF(L582=0, -1, K582/L582)</f>
        <v/>
      </c>
      <c r="O582">
        <f>IF(M582=0, -1, K582/M582)</f>
        <v/>
      </c>
      <c r="P582">
        <f>IF(M582=0, -1, L582/M582)</f>
        <v/>
      </c>
    </row>
    <row r="583">
      <c r="A583" t="inlineStr">
        <is>
          <t>RC00596</t>
        </is>
      </c>
      <c r="B583" t="inlineStr">
        <is>
          <t>广东药科大学</t>
        </is>
      </c>
      <c r="C583" t="n">
        <v>2</v>
      </c>
      <c r="D583" t="n">
        <v>0</v>
      </c>
      <c r="E583" t="n">
        <v>11</v>
      </c>
      <c r="F583" t="n">
        <v>18</v>
      </c>
      <c r="G583" t="n">
        <v>57517.45778148327</v>
      </c>
      <c r="H583" t="n">
        <v>134.7605012773237</v>
      </c>
      <c r="I583">
        <f>IF(H583=0, 0, G583/H583)</f>
        <v/>
      </c>
      <c r="J583">
        <f>RANK(I583, I$2:I$1111, 0)</f>
        <v/>
      </c>
      <c r="K583">
        <f>SUM(C583)</f>
        <v/>
      </c>
      <c r="L583">
        <f>SUM(K583,D583)</f>
        <v/>
      </c>
      <c r="M583">
        <f>SUM(L583,E583,F583)</f>
        <v/>
      </c>
      <c r="N583">
        <f>IF(L583=0, -1, K583/L583)</f>
        <v/>
      </c>
      <c r="O583">
        <f>IF(M583=0, -1, K583/M583)</f>
        <v/>
      </c>
      <c r="P583">
        <f>IF(M583=0, -1, L583/M583)</f>
        <v/>
      </c>
    </row>
    <row r="584">
      <c r="A584" t="inlineStr">
        <is>
          <t>RC00508</t>
        </is>
      </c>
      <c r="B584" t="inlineStr">
        <is>
          <t>中原工学院</t>
        </is>
      </c>
      <c r="C584" t="n">
        <v>0</v>
      </c>
      <c r="D584" t="n">
        <v>0</v>
      </c>
      <c r="E584" t="n">
        <v>14</v>
      </c>
      <c r="F584" t="n">
        <v>33</v>
      </c>
      <c r="G584" t="n">
        <v>84828.15343685867</v>
      </c>
      <c r="H584" t="n">
        <v>232.8065670747432</v>
      </c>
      <c r="I584">
        <f>IF(H584=0, 0, G584/H584)</f>
        <v/>
      </c>
      <c r="J584">
        <f>RANK(I584, I$2:I$1111, 0)</f>
        <v/>
      </c>
      <c r="K584">
        <f>SUM(C584)</f>
        <v/>
      </c>
      <c r="L584">
        <f>SUM(K584,D584)</f>
        <v/>
      </c>
      <c r="M584">
        <f>SUM(L584,E584,F584)</f>
        <v/>
      </c>
      <c r="N584">
        <f>IF(L584=0, -1, K584/L584)</f>
        <v/>
      </c>
      <c r="O584">
        <f>IF(M584=0, -1, K584/M584)</f>
        <v/>
      </c>
      <c r="P584">
        <f>IF(M584=0, -1, L584/M584)</f>
        <v/>
      </c>
    </row>
    <row r="585">
      <c r="A585" t="inlineStr">
        <is>
          <t>RC00314</t>
        </is>
      </c>
      <c r="B585" t="inlineStr">
        <is>
          <t>哈尔滨师范大学</t>
        </is>
      </c>
      <c r="C585" t="n">
        <v>0</v>
      </c>
      <c r="D585" t="n">
        <v>4</v>
      </c>
      <c r="E585" t="n">
        <v>29</v>
      </c>
      <c r="F585" t="n">
        <v>28</v>
      </c>
      <c r="G585" t="n">
        <v>136811.4324319995</v>
      </c>
      <c r="H585" t="n">
        <v>294.8732905904394</v>
      </c>
      <c r="I585">
        <f>IF(H585=0, 0, G585/H585)</f>
        <v/>
      </c>
      <c r="J585">
        <f>RANK(I585, I$2:I$1111, 0)</f>
        <v/>
      </c>
      <c r="K585">
        <f>SUM(C585)</f>
        <v/>
      </c>
      <c r="L585">
        <f>SUM(K585,D585)</f>
        <v/>
      </c>
      <c r="M585">
        <f>SUM(L585,E585,F585)</f>
        <v/>
      </c>
      <c r="N585">
        <f>IF(L585=0, -1, K585/L585)</f>
        <v/>
      </c>
      <c r="O585">
        <f>IF(M585=0, -1, K585/M585)</f>
        <v/>
      </c>
      <c r="P585">
        <f>IF(M585=0, -1, L585/M585)</f>
        <v/>
      </c>
    </row>
    <row r="586">
      <c r="A586" t="inlineStr">
        <is>
          <t>RC00144</t>
        </is>
      </c>
      <c r="B586" t="inlineStr">
        <is>
          <t>中国人民公安大学</t>
        </is>
      </c>
      <c r="C586" t="n">
        <v>15</v>
      </c>
      <c r="D586" t="n">
        <v>1</v>
      </c>
      <c r="E586" t="n">
        <v>0</v>
      </c>
      <c r="F586" t="n">
        <v>0</v>
      </c>
      <c r="G586" t="n">
        <v>33426.74713610456</v>
      </c>
      <c r="H586" t="n">
        <v>35.85739792426769</v>
      </c>
      <c r="I586">
        <f>IF(H586=0, 0, G586/H586)</f>
        <v/>
      </c>
      <c r="J586">
        <f>RANK(I586, I$2:I$1111, 0)</f>
        <v/>
      </c>
      <c r="K586">
        <f>SUM(C586)</f>
        <v/>
      </c>
      <c r="L586">
        <f>SUM(K586,D586)</f>
        <v/>
      </c>
      <c r="M586">
        <f>SUM(L586,E586,F586)</f>
        <v/>
      </c>
      <c r="N586">
        <f>IF(L586=0, -1, K586/L586)</f>
        <v/>
      </c>
      <c r="O586">
        <f>IF(M586=0, -1, K586/M586)</f>
        <v/>
      </c>
      <c r="P586">
        <f>IF(M586=0, -1, L586/M586)</f>
        <v/>
      </c>
    </row>
    <row r="587">
      <c r="A587" t="inlineStr">
        <is>
          <t>RC00113</t>
        </is>
      </c>
      <c r="B587" t="inlineStr">
        <is>
          <t>北京中医药大学</t>
        </is>
      </c>
      <c r="C587" t="n">
        <v>6</v>
      </c>
      <c r="D587" t="n">
        <v>0</v>
      </c>
      <c r="E587" t="n">
        <v>9</v>
      </c>
      <c r="F587" t="n">
        <v>1</v>
      </c>
      <c r="G587" t="n">
        <v>46883.27916011109</v>
      </c>
      <c r="H587" t="n">
        <v>69.06550747124849</v>
      </c>
      <c r="I587">
        <f>IF(H587=0, 0, G587/H587)</f>
        <v/>
      </c>
      <c r="J587">
        <f>RANK(I587, I$2:I$1111, 0)</f>
        <v/>
      </c>
      <c r="K587">
        <f>SUM(C587)</f>
        <v/>
      </c>
      <c r="L587">
        <f>SUM(K587,D587)</f>
        <v/>
      </c>
      <c r="M587">
        <f>SUM(L587,E587,F587)</f>
        <v/>
      </c>
      <c r="N587">
        <f>IF(L587=0, -1, K587/L587)</f>
        <v/>
      </c>
      <c r="O587">
        <f>IF(M587=0, -1, K587/M587)</f>
        <v/>
      </c>
      <c r="P587">
        <f>IF(M587=0, -1, L587/M587)</f>
        <v/>
      </c>
    </row>
    <row r="588">
      <c r="A588" t="inlineStr">
        <is>
          <t>RC00074</t>
        </is>
      </c>
      <c r="B588" t="inlineStr">
        <is>
          <t>中国矿业大学（北京）</t>
        </is>
      </c>
      <c r="C588" t="n">
        <v>3</v>
      </c>
      <c r="D588" t="n">
        <v>4</v>
      </c>
      <c r="E588" t="n">
        <v>26</v>
      </c>
      <c r="F588" t="n">
        <v>2</v>
      </c>
      <c r="G588" t="n">
        <v>95806.9720084281</v>
      </c>
      <c r="H588" t="n">
        <v>160.1262856214585</v>
      </c>
      <c r="I588">
        <f>IF(H588=0, 0, G588/H588)</f>
        <v/>
      </c>
      <c r="J588">
        <f>RANK(I588, I$2:I$1111, 0)</f>
        <v/>
      </c>
      <c r="K588">
        <f>SUM(C588)</f>
        <v/>
      </c>
      <c r="L588">
        <f>SUM(K588,D588)</f>
        <v/>
      </c>
      <c r="M588">
        <f>SUM(L588,E588,F588)</f>
        <v/>
      </c>
      <c r="N588">
        <f>IF(L588=0, -1, K588/L588)</f>
        <v/>
      </c>
      <c r="O588">
        <f>IF(M588=0, -1, K588/M588)</f>
        <v/>
      </c>
      <c r="P588">
        <f>IF(M588=0, -1, L588/M588)</f>
        <v/>
      </c>
    </row>
    <row r="589">
      <c r="A589" t="inlineStr">
        <is>
          <t>RC00062</t>
        </is>
      </c>
      <c r="B589" t="inlineStr">
        <is>
          <t>南方医科大学</t>
        </is>
      </c>
      <c r="C589" t="n">
        <v>6</v>
      </c>
      <c r="D589" t="n">
        <v>15</v>
      </c>
      <c r="E589" t="n">
        <v>11</v>
      </c>
      <c r="F589" t="n">
        <v>1</v>
      </c>
      <c r="G589" t="n">
        <v>102313.9066926808</v>
      </c>
      <c r="H589" t="n">
        <v>132.9407043605343</v>
      </c>
      <c r="I589">
        <f>IF(H589=0, 0, G589/H589)</f>
        <v/>
      </c>
      <c r="J589">
        <f>RANK(I589, I$2:I$1111, 0)</f>
        <v/>
      </c>
      <c r="K589">
        <f>SUM(C589)</f>
        <v/>
      </c>
      <c r="L589">
        <f>SUM(K589,D589)</f>
        <v/>
      </c>
      <c r="M589">
        <f>SUM(L589,E589,F589)</f>
        <v/>
      </c>
      <c r="N589">
        <f>IF(L589=0, -1, K589/L589)</f>
        <v/>
      </c>
      <c r="O589">
        <f>IF(M589=0, -1, K589/M589)</f>
        <v/>
      </c>
      <c r="P589">
        <f>IF(M589=0, -1, L589/M589)</f>
        <v/>
      </c>
    </row>
    <row r="590">
      <c r="A590" t="inlineStr">
        <is>
          <t>RC00161</t>
        </is>
      </c>
      <c r="B590" t="inlineStr">
        <is>
          <t>中国劳动关系学院</t>
        </is>
      </c>
      <c r="C590" t="n">
        <v>0</v>
      </c>
      <c r="D590" t="n">
        <v>1</v>
      </c>
      <c r="E590" t="n">
        <v>5</v>
      </c>
      <c r="F590" t="n">
        <v>9</v>
      </c>
      <c r="G590" t="n">
        <v>31860.44080428207</v>
      </c>
      <c r="H590" t="n">
        <v>74.82331830658946</v>
      </c>
      <c r="I590">
        <f>IF(H590=0, 0, G590/H590)</f>
        <v/>
      </c>
      <c r="J590">
        <f>RANK(I590, I$2:I$1111, 0)</f>
        <v/>
      </c>
      <c r="K590">
        <f>SUM(C590)</f>
        <v/>
      </c>
      <c r="L590">
        <f>SUM(K590,D590)</f>
        <v/>
      </c>
      <c r="M590">
        <f>SUM(L590,E590,F590)</f>
        <v/>
      </c>
      <c r="N590">
        <f>IF(L590=0, -1, K590/L590)</f>
        <v/>
      </c>
      <c r="O590">
        <f>IF(M590=0, -1, K590/M590)</f>
        <v/>
      </c>
      <c r="P590">
        <f>IF(M590=0, -1, L590/M590)</f>
        <v/>
      </c>
    </row>
    <row r="591">
      <c r="A591" t="inlineStr">
        <is>
          <t>RC00700</t>
        </is>
      </c>
      <c r="B591" t="inlineStr">
        <is>
          <t>贵州民族大学</t>
        </is>
      </c>
      <c r="C591" t="n">
        <v>1</v>
      </c>
      <c r="D591" t="n">
        <v>2</v>
      </c>
      <c r="E591" t="n">
        <v>17</v>
      </c>
      <c r="F591" t="n">
        <v>38</v>
      </c>
      <c r="G591" t="n">
        <v>114401.4087561636</v>
      </c>
      <c r="H591" t="n">
        <v>286.6376142058796</v>
      </c>
      <c r="I591">
        <f>IF(H591=0, 0, G591/H591)</f>
        <v/>
      </c>
      <c r="J591">
        <f>RANK(I591, I$2:I$1111, 0)</f>
        <v/>
      </c>
      <c r="K591">
        <f>SUM(C591)</f>
        <v/>
      </c>
      <c r="L591">
        <f>SUM(K591,D591)</f>
        <v/>
      </c>
      <c r="M591">
        <f>SUM(L591,E591,F591)</f>
        <v/>
      </c>
      <c r="N591">
        <f>IF(L591=0, -1, K591/L591)</f>
        <v/>
      </c>
      <c r="O591">
        <f>IF(M591=0, -1, K591/M591)</f>
        <v/>
      </c>
      <c r="P591">
        <f>IF(M591=0, -1, L591/M591)</f>
        <v/>
      </c>
    </row>
    <row r="592">
      <c r="A592" t="inlineStr">
        <is>
          <t>RC00263</t>
        </is>
      </c>
      <c r="B592" t="inlineStr">
        <is>
          <t>辽宁师范大学</t>
        </is>
      </c>
      <c r="C592" t="n">
        <v>0</v>
      </c>
      <c r="D592" t="n">
        <v>5</v>
      </c>
      <c r="E592" t="n">
        <v>30</v>
      </c>
      <c r="F592" t="n">
        <v>20</v>
      </c>
      <c r="G592" t="n">
        <v>127086.9208111867</v>
      </c>
      <c r="H592" t="n">
        <v>272.7201585725963</v>
      </c>
      <c r="I592">
        <f>IF(H592=0, 0, G592/H592)</f>
        <v/>
      </c>
      <c r="J592">
        <f>RANK(I592, I$2:I$1111, 0)</f>
        <v/>
      </c>
      <c r="K592">
        <f>SUM(C592)</f>
        <v/>
      </c>
      <c r="L592">
        <f>SUM(K592,D592)</f>
        <v/>
      </c>
      <c r="M592">
        <f>SUM(L592,E592,F592)</f>
        <v/>
      </c>
      <c r="N592">
        <f>IF(L592=0, -1, K592/L592)</f>
        <v/>
      </c>
      <c r="O592">
        <f>IF(M592=0, -1, K592/M592)</f>
        <v/>
      </c>
      <c r="P592">
        <f>IF(M592=0, -1, L592/M592)</f>
        <v/>
      </c>
    </row>
    <row r="593">
      <c r="A593" t="inlineStr">
        <is>
          <t>RC00091</t>
        </is>
      </c>
      <c r="B593" t="inlineStr">
        <is>
          <t>安徽医科大学</t>
        </is>
      </c>
      <c r="C593" t="n">
        <v>2</v>
      </c>
      <c r="D593" t="n">
        <v>9</v>
      </c>
      <c r="E593" t="n">
        <v>18</v>
      </c>
      <c r="F593" t="n">
        <v>10</v>
      </c>
      <c r="G593" t="n">
        <v>92575.01906295365</v>
      </c>
      <c r="H593" t="n">
        <v>153.0627969926713</v>
      </c>
      <c r="I593">
        <f>IF(H593=0, 0, G593/H593)</f>
        <v/>
      </c>
      <c r="J593">
        <f>RANK(I593, I$2:I$1111, 0)</f>
        <v/>
      </c>
      <c r="K593">
        <f>SUM(C593)</f>
        <v/>
      </c>
      <c r="L593">
        <f>SUM(K593,D593)</f>
        <v/>
      </c>
      <c r="M593">
        <f>SUM(L593,E593,F593)</f>
        <v/>
      </c>
      <c r="N593">
        <f>IF(L593=0, -1, K593/L593)</f>
        <v/>
      </c>
      <c r="O593">
        <f>IF(M593=0, -1, K593/M593)</f>
        <v/>
      </c>
      <c r="P593">
        <f>IF(M593=0, -1, L593/M593)</f>
        <v/>
      </c>
    </row>
    <row r="594">
      <c r="A594" t="inlineStr">
        <is>
          <t>RC00156</t>
        </is>
      </c>
      <c r="B594" t="inlineStr">
        <is>
          <t>中华女子学院</t>
        </is>
      </c>
      <c r="C594" t="n">
        <v>0</v>
      </c>
      <c r="D594" t="n">
        <v>0</v>
      </c>
      <c r="E594" t="n">
        <v>6</v>
      </c>
      <c r="F594" t="n">
        <v>7</v>
      </c>
      <c r="G594" t="n">
        <v>27480.84175908063</v>
      </c>
      <c r="H594" t="n">
        <v>65.52127069094553</v>
      </c>
      <c r="I594">
        <f>IF(H594=0, 0, G594/H594)</f>
        <v/>
      </c>
      <c r="J594">
        <f>RANK(I594, I$2:I$1111, 0)</f>
        <v/>
      </c>
      <c r="K594">
        <f>SUM(C594)</f>
        <v/>
      </c>
      <c r="L594">
        <f>SUM(K594,D594)</f>
        <v/>
      </c>
      <c r="M594">
        <f>SUM(L594,E594,F594)</f>
        <v/>
      </c>
      <c r="N594">
        <f>IF(L594=0, -1, K594/L594)</f>
        <v/>
      </c>
      <c r="O594">
        <f>IF(M594=0, -1, K594/M594)</f>
        <v/>
      </c>
      <c r="P594">
        <f>IF(M594=0, -1, L594/M594)</f>
        <v/>
      </c>
    </row>
    <row r="595">
      <c r="A595" t="inlineStr">
        <is>
          <t>RC00115</t>
        </is>
      </c>
      <c r="B595" t="inlineStr">
        <is>
          <t>大连医科大学</t>
        </is>
      </c>
      <c r="C595" t="n">
        <v>0</v>
      </c>
      <c r="D595" t="n">
        <v>4</v>
      </c>
      <c r="E595" t="n">
        <v>15</v>
      </c>
      <c r="F595" t="n">
        <v>7</v>
      </c>
      <c r="G595" t="n">
        <v>63423.01978227635</v>
      </c>
      <c r="H595" t="n">
        <v>107.9688149258156</v>
      </c>
      <c r="I595">
        <f>IF(H595=0, 0, G595/H595)</f>
        <v/>
      </c>
      <c r="J595">
        <f>RANK(I595, I$2:I$1111, 0)</f>
        <v/>
      </c>
      <c r="K595">
        <f>SUM(C595)</f>
        <v/>
      </c>
      <c r="L595">
        <f>SUM(K595,D595)</f>
        <v/>
      </c>
      <c r="M595">
        <f>SUM(L595,E595,F595)</f>
        <v/>
      </c>
      <c r="N595">
        <f>IF(L595=0, -1, K595/L595)</f>
        <v/>
      </c>
      <c r="O595">
        <f>IF(M595=0, -1, K595/M595)</f>
        <v/>
      </c>
      <c r="P595">
        <f>IF(M595=0, -1, L595/M595)</f>
        <v/>
      </c>
    </row>
    <row r="596">
      <c r="A596" t="inlineStr">
        <is>
          <t>RC00671</t>
        </is>
      </c>
      <c r="B596" t="inlineStr">
        <is>
          <t>西华师范大学</t>
        </is>
      </c>
      <c r="C596" t="n">
        <v>1</v>
      </c>
      <c r="D596" t="n">
        <v>1</v>
      </c>
      <c r="E596" t="n">
        <v>19</v>
      </c>
      <c r="F596" t="n">
        <v>36</v>
      </c>
      <c r="G596" t="n">
        <v>110769.0318772624</v>
      </c>
      <c r="H596" t="n">
        <v>276.6963303435418</v>
      </c>
      <c r="I596">
        <f>IF(H596=0, 0, G596/H596)</f>
        <v/>
      </c>
      <c r="J596">
        <f>RANK(I596, I$2:I$1111, 0)</f>
        <v/>
      </c>
      <c r="K596">
        <f>SUM(C596)</f>
        <v/>
      </c>
      <c r="L596">
        <f>SUM(K596,D596)</f>
        <v/>
      </c>
      <c r="M596">
        <f>SUM(L596,E596,F596)</f>
        <v/>
      </c>
      <c r="N596">
        <f>IF(L596=0, -1, K596/L596)</f>
        <v/>
      </c>
      <c r="O596">
        <f>IF(M596=0, -1, K596/M596)</f>
        <v/>
      </c>
      <c r="P596">
        <f>IF(M596=0, -1, L596/M596)</f>
        <v/>
      </c>
    </row>
    <row r="597">
      <c r="A597" t="inlineStr">
        <is>
          <t>RC00095</t>
        </is>
      </c>
      <c r="B597" t="inlineStr">
        <is>
          <t>广州医科大学</t>
        </is>
      </c>
      <c r="C597" t="n">
        <v>2</v>
      </c>
      <c r="D597" t="n">
        <v>6</v>
      </c>
      <c r="E597" t="n">
        <v>11</v>
      </c>
      <c r="F597" t="n">
        <v>2</v>
      </c>
      <c r="G597" t="n">
        <v>61142.7051345576</v>
      </c>
      <c r="H597" t="n">
        <v>85.87791217580894</v>
      </c>
      <c r="I597">
        <f>IF(H597=0, 0, G597/H597)</f>
        <v/>
      </c>
      <c r="J597">
        <f>RANK(I597, I$2:I$1111, 0)</f>
        <v/>
      </c>
      <c r="K597">
        <f>SUM(C597)</f>
        <v/>
      </c>
      <c r="L597">
        <f>SUM(K597,D597)</f>
        <v/>
      </c>
      <c r="M597">
        <f>SUM(L597,E597,F597)</f>
        <v/>
      </c>
      <c r="N597">
        <f>IF(L597=0, -1, K597/L597)</f>
        <v/>
      </c>
      <c r="O597">
        <f>IF(M597=0, -1, K597/M597)</f>
        <v/>
      </c>
      <c r="P597">
        <f>IF(M597=0, -1, L597/M597)</f>
        <v/>
      </c>
    </row>
    <row r="598">
      <c r="A598" t="inlineStr">
        <is>
          <t>RC00467</t>
        </is>
      </c>
      <c r="B598" t="inlineStr">
        <is>
          <t>山东建筑大学</t>
        </is>
      </c>
      <c r="C598" t="n">
        <v>0</v>
      </c>
      <c r="D598" t="n">
        <v>3</v>
      </c>
      <c r="E598" t="n">
        <v>21</v>
      </c>
      <c r="F598" t="n">
        <v>27</v>
      </c>
      <c r="G598" t="n">
        <v>107223.2694765139</v>
      </c>
      <c r="H598" t="n">
        <v>254.0033335728833</v>
      </c>
      <c r="I598">
        <f>IF(H598=0, 0, G598/H598)</f>
        <v/>
      </c>
      <c r="J598">
        <f>RANK(I598, I$2:I$1111, 0)</f>
        <v/>
      </c>
      <c r="K598">
        <f>SUM(C598)</f>
        <v/>
      </c>
      <c r="L598">
        <f>SUM(K598,D598)</f>
        <v/>
      </c>
      <c r="M598">
        <f>SUM(L598,E598,F598)</f>
        <v/>
      </c>
      <c r="N598">
        <f>IF(L598=0, -1, K598/L598)</f>
        <v/>
      </c>
      <c r="O598">
        <f>IF(M598=0, -1, K598/M598)</f>
        <v/>
      </c>
      <c r="P598">
        <f>IF(M598=0, -1, L598/M598)</f>
        <v/>
      </c>
    </row>
    <row r="599">
      <c r="A599" t="inlineStr">
        <is>
          <t>RC00667</t>
        </is>
      </c>
      <c r="B599" t="inlineStr">
        <is>
          <t>西南医科大学</t>
        </is>
      </c>
      <c r="C599" t="n">
        <v>0</v>
      </c>
      <c r="D599" t="n">
        <v>1</v>
      </c>
      <c r="E599" t="n">
        <v>13</v>
      </c>
      <c r="F599" t="n">
        <v>9</v>
      </c>
      <c r="G599" t="n">
        <v>49527.30262165225</v>
      </c>
      <c r="H599" t="n">
        <v>100.510404051438</v>
      </c>
      <c r="I599">
        <f>IF(H599=0, 0, G599/H599)</f>
        <v/>
      </c>
      <c r="J599">
        <f>RANK(I599, I$2:I$1111, 0)</f>
        <v/>
      </c>
      <c r="K599">
        <f>SUM(C599)</f>
        <v/>
      </c>
      <c r="L599">
        <f>SUM(K599,D599)</f>
        <v/>
      </c>
      <c r="M599">
        <f>SUM(L599,E599,F599)</f>
        <v/>
      </c>
      <c r="N599">
        <f>IF(L599=0, -1, K599/L599)</f>
        <v/>
      </c>
      <c r="O599">
        <f>IF(M599=0, -1, K599/M599)</f>
        <v/>
      </c>
      <c r="P599">
        <f>IF(M599=0, -1, L599/M599)</f>
        <v/>
      </c>
    </row>
    <row r="600">
      <c r="A600" t="inlineStr">
        <is>
          <t>RC00040</t>
        </is>
      </c>
      <c r="B600" t="inlineStr">
        <is>
          <t>首都医科大学</t>
        </is>
      </c>
      <c r="C600" t="n">
        <v>7</v>
      </c>
      <c r="D600" t="n">
        <v>10</v>
      </c>
      <c r="E600" t="n">
        <v>8</v>
      </c>
      <c r="F600" t="n">
        <v>2</v>
      </c>
      <c r="G600" t="n">
        <v>77116.38236308128</v>
      </c>
      <c r="H600" t="n">
        <v>102.6109600413275</v>
      </c>
      <c r="I600">
        <f>IF(H600=0, 0, G600/H600)</f>
        <v/>
      </c>
      <c r="J600">
        <f>RANK(I600, I$2:I$1111, 0)</f>
        <v/>
      </c>
      <c r="K600">
        <f>SUM(C600)</f>
        <v/>
      </c>
      <c r="L600">
        <f>SUM(K600,D600)</f>
        <v/>
      </c>
      <c r="M600">
        <f>SUM(L600,E600,F600)</f>
        <v/>
      </c>
      <c r="N600">
        <f>IF(L600=0, -1, K600/L600)</f>
        <v/>
      </c>
      <c r="O600">
        <f>IF(M600=0, -1, K600/M600)</f>
        <v/>
      </c>
      <c r="P600">
        <f>IF(M600=0, -1, L600/M600)</f>
        <v/>
      </c>
    </row>
    <row r="601">
      <c r="A601" t="inlineStr">
        <is>
          <t>RC00690</t>
        </is>
      </c>
      <c r="B601" t="inlineStr">
        <is>
          <t>贵州中医药大学</t>
        </is>
      </c>
      <c r="C601" t="n">
        <v>0</v>
      </c>
      <c r="D601" t="n">
        <v>0</v>
      </c>
      <c r="E601" t="n">
        <v>9</v>
      </c>
      <c r="F601" t="n">
        <v>14</v>
      </c>
      <c r="G601" t="n">
        <v>42981.96452664375</v>
      </c>
      <c r="H601" t="n">
        <v>97.03901976326841</v>
      </c>
      <c r="I601">
        <f>IF(H601=0, 0, G601/H601)</f>
        <v/>
      </c>
      <c r="J601">
        <f>RANK(I601, I$2:I$1111, 0)</f>
        <v/>
      </c>
      <c r="K601">
        <f>SUM(C601)</f>
        <v/>
      </c>
      <c r="L601">
        <f>SUM(K601,D601)</f>
        <v/>
      </c>
      <c r="M601">
        <f>SUM(L601,E601,F601)</f>
        <v/>
      </c>
      <c r="N601">
        <f>IF(L601=0, -1, K601/L601)</f>
        <v/>
      </c>
      <c r="O601">
        <f>IF(M601=0, -1, K601/M601)</f>
        <v/>
      </c>
      <c r="P601">
        <f>IF(M601=0, -1, L601/M601)</f>
        <v/>
      </c>
    </row>
    <row r="602">
      <c r="A602" t="inlineStr">
        <is>
          <t>RC00086</t>
        </is>
      </c>
      <c r="B602" t="inlineStr">
        <is>
          <t>哈尔滨医科大学</t>
        </is>
      </c>
      <c r="C602" t="n">
        <v>0</v>
      </c>
      <c r="D602" t="n">
        <v>5</v>
      </c>
      <c r="E602" t="n">
        <v>18</v>
      </c>
      <c r="F602" t="n">
        <v>6</v>
      </c>
      <c r="G602" t="n">
        <v>70889.97626060131</v>
      </c>
      <c r="H602" t="n">
        <v>116.211608534625</v>
      </c>
      <c r="I602">
        <f>IF(H602=0, 0, G602/H602)</f>
        <v/>
      </c>
      <c r="J602">
        <f>RANK(I602, I$2:I$1111, 0)</f>
        <v/>
      </c>
      <c r="K602">
        <f>SUM(C602)</f>
        <v/>
      </c>
      <c r="L602">
        <f>SUM(K602,D602)</f>
        <v/>
      </c>
      <c r="M602">
        <f>SUM(L602,E602,F602)</f>
        <v/>
      </c>
      <c r="N602">
        <f>IF(L602=0, -1, K602/L602)</f>
        <v/>
      </c>
      <c r="O602">
        <f>IF(M602=0, -1, K602/M602)</f>
        <v/>
      </c>
      <c r="P602">
        <f>IF(M602=0, -1, L602/M602)</f>
        <v/>
      </c>
    </row>
    <row r="603">
      <c r="A603" t="inlineStr">
        <is>
          <t>RC00265</t>
        </is>
      </c>
      <c r="B603" t="inlineStr">
        <is>
          <t>渤海大学</t>
        </is>
      </c>
      <c r="C603" t="n">
        <v>0</v>
      </c>
      <c r="D603" t="n">
        <v>0</v>
      </c>
      <c r="E603" t="n">
        <v>13</v>
      </c>
      <c r="F603" t="n">
        <v>28</v>
      </c>
      <c r="G603" t="n">
        <v>82677.09418692644</v>
      </c>
      <c r="H603" t="n">
        <v>214.8702809338335</v>
      </c>
      <c r="I603">
        <f>IF(H603=0, 0, G603/H603)</f>
        <v/>
      </c>
      <c r="J603">
        <f>RANK(I603, I$2:I$1111, 0)</f>
        <v/>
      </c>
      <c r="K603">
        <f>SUM(C603)</f>
        <v/>
      </c>
      <c r="L603">
        <f>SUM(K603,D603)</f>
        <v/>
      </c>
      <c r="M603">
        <f>SUM(L603,E603,F603)</f>
        <v/>
      </c>
      <c r="N603">
        <f>IF(L603=0, -1, K603/L603)</f>
        <v/>
      </c>
      <c r="O603">
        <f>IF(M603=0, -1, K603/M603)</f>
        <v/>
      </c>
      <c r="P603">
        <f>IF(M603=0, -1, L603/M603)</f>
        <v/>
      </c>
    </row>
    <row r="604">
      <c r="A604" t="inlineStr">
        <is>
          <t>RC00730</t>
        </is>
      </c>
      <c r="B604" t="inlineStr">
        <is>
          <t>西安建筑科技大学</t>
        </is>
      </c>
      <c r="C604" t="n">
        <v>1</v>
      </c>
      <c r="D604" t="n">
        <v>13</v>
      </c>
      <c r="E604" t="n">
        <v>32</v>
      </c>
      <c r="F604" t="n">
        <v>11</v>
      </c>
      <c r="G604" t="n">
        <v>145607.7770661011</v>
      </c>
      <c r="H604" t="n">
        <v>270.475324895394</v>
      </c>
      <c r="I604">
        <f>IF(H604=0, 0, G604/H604)</f>
        <v/>
      </c>
      <c r="J604">
        <f>RANK(I604, I$2:I$1111, 0)</f>
        <v/>
      </c>
      <c r="K604">
        <f>SUM(C604)</f>
        <v/>
      </c>
      <c r="L604">
        <f>SUM(K604,D604)</f>
        <v/>
      </c>
      <c r="M604">
        <f>SUM(L604,E604,F604)</f>
        <v/>
      </c>
      <c r="N604">
        <f>IF(L604=0, -1, K604/L604)</f>
        <v/>
      </c>
      <c r="O604">
        <f>IF(M604=0, -1, K604/M604)</f>
        <v/>
      </c>
      <c r="P604">
        <f>IF(M604=0, -1, L604/M604)</f>
        <v/>
      </c>
    </row>
    <row r="605">
      <c r="A605" t="inlineStr">
        <is>
          <t>RC00130</t>
        </is>
      </c>
      <c r="B605" t="inlineStr">
        <is>
          <t>北京建筑大学</t>
        </is>
      </c>
      <c r="C605" t="n">
        <v>1</v>
      </c>
      <c r="D605" t="n">
        <v>10</v>
      </c>
      <c r="E605" t="n">
        <v>17</v>
      </c>
      <c r="F605" t="n">
        <v>7</v>
      </c>
      <c r="G605" t="n">
        <v>86418.46335826907</v>
      </c>
      <c r="H605" t="n">
        <v>164.4968245828846</v>
      </c>
      <c r="I605">
        <f>IF(H605=0, 0, G605/H605)</f>
        <v/>
      </c>
      <c r="J605">
        <f>RANK(I605, I$2:I$1111, 0)</f>
        <v/>
      </c>
      <c r="K605">
        <f>SUM(C605)</f>
        <v/>
      </c>
      <c r="L605">
        <f>SUM(K605,D605)</f>
        <v/>
      </c>
      <c r="M605">
        <f>SUM(L605,E605,F605)</f>
        <v/>
      </c>
      <c r="N605">
        <f>IF(L605=0, -1, K605/L605)</f>
        <v/>
      </c>
      <c r="O605">
        <f>IF(M605=0, -1, K605/M605)</f>
        <v/>
      </c>
      <c r="P605">
        <f>IF(M605=0, -1, L605/M605)</f>
        <v/>
      </c>
    </row>
    <row r="606">
      <c r="A606" t="inlineStr">
        <is>
          <t>RC00209</t>
        </is>
      </c>
      <c r="B606" t="inlineStr">
        <is>
          <t>中央司法警官学院</t>
        </is>
      </c>
      <c r="C606" t="n">
        <v>3</v>
      </c>
      <c r="D606" t="n">
        <v>0</v>
      </c>
      <c r="E606" t="n">
        <v>1</v>
      </c>
      <c r="F606" t="n">
        <v>2</v>
      </c>
      <c r="G606" t="n">
        <v>8412.640891852296</v>
      </c>
      <c r="H606" t="n">
        <v>14.79236190960678</v>
      </c>
      <c r="I606">
        <f>IF(H606=0, 0, G606/H606)</f>
        <v/>
      </c>
      <c r="J606">
        <f>RANK(I606, I$2:I$1111, 0)</f>
        <v/>
      </c>
      <c r="K606">
        <f>SUM(C606)</f>
        <v/>
      </c>
      <c r="L606">
        <f>SUM(K606,D606)</f>
        <v/>
      </c>
      <c r="M606">
        <f>SUM(L606,E606,F606)</f>
        <v/>
      </c>
      <c r="N606">
        <f>IF(L606=0, -1, K606/L606)</f>
        <v/>
      </c>
      <c r="O606">
        <f>IF(M606=0, -1, K606/M606)</f>
        <v/>
      </c>
      <c r="P606">
        <f>IF(M606=0, -1, L606/M606)</f>
        <v/>
      </c>
    </row>
    <row r="607">
      <c r="A607" t="inlineStr">
        <is>
          <t>RC00708</t>
        </is>
      </c>
      <c r="B607" t="inlineStr">
        <is>
          <t>大理大学</t>
        </is>
      </c>
      <c r="C607" t="n">
        <v>0</v>
      </c>
      <c r="D607" t="n">
        <v>0</v>
      </c>
      <c r="E607" t="n">
        <v>11</v>
      </c>
      <c r="F607" t="n">
        <v>18</v>
      </c>
      <c r="G607" t="n">
        <v>57292.72490627473</v>
      </c>
      <c r="H607" t="n">
        <v>147.9688558764296</v>
      </c>
      <c r="I607">
        <f>IF(H607=0, 0, G607/H607)</f>
        <v/>
      </c>
      <c r="J607">
        <f>RANK(I607, I$2:I$1111, 0)</f>
        <v/>
      </c>
      <c r="K607">
        <f>SUM(C607)</f>
        <v/>
      </c>
      <c r="L607">
        <f>SUM(K607,D607)</f>
        <v/>
      </c>
      <c r="M607">
        <f>SUM(L607,E607,F607)</f>
        <v/>
      </c>
      <c r="N607">
        <f>IF(L607=0, -1, K607/L607)</f>
        <v/>
      </c>
      <c r="O607">
        <f>IF(M607=0, -1, K607/M607)</f>
        <v/>
      </c>
      <c r="P607">
        <f>IF(M607=0, -1, L607/M607)</f>
        <v/>
      </c>
    </row>
    <row r="608">
      <c r="A608" t="inlineStr">
        <is>
          <t>RC00438</t>
        </is>
      </c>
      <c r="B608" t="inlineStr">
        <is>
          <t>福建警察学院</t>
        </is>
      </c>
      <c r="C608" t="n">
        <v>1</v>
      </c>
      <c r="D608" t="n">
        <v>0</v>
      </c>
      <c r="E608" t="n">
        <v>3</v>
      </c>
      <c r="F608" t="n">
        <v>4</v>
      </c>
      <c r="G608" t="n">
        <v>11379.79930197237</v>
      </c>
      <c r="H608" t="n">
        <v>18.15809923989006</v>
      </c>
      <c r="I608">
        <f>IF(H608=0, 0, G608/H608)</f>
        <v/>
      </c>
      <c r="J608">
        <f>RANK(I608, I$2:I$1111, 0)</f>
        <v/>
      </c>
      <c r="K608">
        <f>SUM(C608)</f>
        <v/>
      </c>
      <c r="L608">
        <f>SUM(K608,D608)</f>
        <v/>
      </c>
      <c r="M608">
        <f>SUM(L608,E608,F608)</f>
        <v/>
      </c>
      <c r="N608">
        <f>IF(L608=0, -1, K608/L608)</f>
        <v/>
      </c>
      <c r="O608">
        <f>IF(M608=0, -1, K608/M608)</f>
        <v/>
      </c>
      <c r="P608">
        <f>IF(M608=0, -1, L608/M608)</f>
        <v/>
      </c>
    </row>
    <row r="609">
      <c r="A609" t="inlineStr">
        <is>
          <t>RC00276</t>
        </is>
      </c>
      <c r="B609" t="inlineStr">
        <is>
          <t>辽宁警察学院</t>
        </is>
      </c>
      <c r="C609" t="n">
        <v>0</v>
      </c>
      <c r="D609" t="n">
        <v>0</v>
      </c>
      <c r="E609" t="n">
        <v>2</v>
      </c>
      <c r="F609" t="n">
        <v>1</v>
      </c>
      <c r="G609" t="n">
        <v>4964.192768202533</v>
      </c>
      <c r="H609" t="n">
        <v>7.357556200910352</v>
      </c>
      <c r="I609">
        <f>IF(H609=0, 0, G609/H609)</f>
        <v/>
      </c>
      <c r="J609">
        <f>RANK(I609, I$2:I$1111, 0)</f>
        <v/>
      </c>
      <c r="K609">
        <f>SUM(C609)</f>
        <v/>
      </c>
      <c r="L609">
        <f>SUM(K609,D609)</f>
        <v/>
      </c>
      <c r="M609">
        <f>SUM(L609,E609,F609)</f>
        <v/>
      </c>
      <c r="N609">
        <f>IF(L609=0, -1, K609/L609)</f>
        <v/>
      </c>
      <c r="O609">
        <f>IF(M609=0, -1, K609/M609)</f>
        <v/>
      </c>
      <c r="P609">
        <f>IF(M609=0, -1, L609/M609)</f>
        <v/>
      </c>
    </row>
    <row r="610">
      <c r="A610" t="inlineStr">
        <is>
          <t>RC00695</t>
        </is>
      </c>
      <c r="B610" t="inlineStr">
        <is>
          <t>安顺学院</t>
        </is>
      </c>
      <c r="C610" t="n">
        <v>0</v>
      </c>
      <c r="D610" t="n">
        <v>0</v>
      </c>
      <c r="E610" t="n">
        <v>1</v>
      </c>
      <c r="F610" t="n">
        <v>5</v>
      </c>
      <c r="G610" t="n">
        <v>10157.0443154541</v>
      </c>
      <c r="H610" t="n">
        <v>26.57775399222848</v>
      </c>
      <c r="I610">
        <f>IF(H610=0, 0, G610/H610)</f>
        <v/>
      </c>
      <c r="J610">
        <f>RANK(I610, I$2:I$1111, 0)</f>
        <v/>
      </c>
      <c r="K610">
        <f>SUM(C610)</f>
        <v/>
      </c>
      <c r="L610">
        <f>SUM(K610,D610)</f>
        <v/>
      </c>
      <c r="M610">
        <f>SUM(L610,E610,F610)</f>
        <v/>
      </c>
      <c r="N610">
        <f>IF(L610=0, -1, K610/L610)</f>
        <v/>
      </c>
      <c r="O610">
        <f>IF(M610=0, -1, K610/M610)</f>
        <v/>
      </c>
      <c r="P610">
        <f>IF(M610=0, -1, L610/M610)</f>
        <v/>
      </c>
    </row>
    <row r="611">
      <c r="A611" t="inlineStr">
        <is>
          <t>RC00797</t>
        </is>
      </c>
      <c r="B611" t="inlineStr">
        <is>
          <t>广西警察学院</t>
        </is>
      </c>
      <c r="C611" t="n">
        <v>0</v>
      </c>
      <c r="D611" t="n">
        <v>0</v>
      </c>
      <c r="E611" t="n">
        <v>0</v>
      </c>
      <c r="F611" t="n">
        <v>3</v>
      </c>
      <c r="G611" t="n">
        <v>1974.744060931026</v>
      </c>
      <c r="H611" t="n">
        <v>6.109247582764366</v>
      </c>
      <c r="I611">
        <f>IF(H611=0, 0, G611/H611)</f>
        <v/>
      </c>
      <c r="J611">
        <f>RANK(I611, I$2:I$1111, 0)</f>
        <v/>
      </c>
      <c r="K611">
        <f>SUM(C611)</f>
        <v/>
      </c>
      <c r="L611">
        <f>SUM(K611,D611)</f>
        <v/>
      </c>
      <c r="M611">
        <f>SUM(L611,E611,F611)</f>
        <v/>
      </c>
      <c r="N611">
        <f>IF(L611=0, -1, K611/L611)</f>
        <v/>
      </c>
      <c r="O611">
        <f>IF(M611=0, -1, K611/M611)</f>
        <v/>
      </c>
      <c r="P611">
        <f>IF(M611=0, -1, L611/M611)</f>
        <v/>
      </c>
    </row>
    <row r="612">
      <c r="A612" t="inlineStr">
        <is>
          <t>RC01241</t>
        </is>
      </c>
      <c r="B612" t="inlineStr">
        <is>
          <t>新疆政法学院</t>
        </is>
      </c>
      <c r="C612" t="n">
        <v>1</v>
      </c>
      <c r="D612" t="n">
        <v>0</v>
      </c>
      <c r="E612" t="n">
        <v>0</v>
      </c>
      <c r="F612" t="n">
        <v>1</v>
      </c>
      <c r="G612" t="n">
        <v>2170.133696145623</v>
      </c>
      <c r="H612" t="n">
        <v>4.852030263919617</v>
      </c>
      <c r="I612">
        <f>IF(H612=0, 0, G612/H612)</f>
        <v/>
      </c>
      <c r="J612">
        <f>RANK(I612, I$2:I$1111, 0)</f>
        <v/>
      </c>
      <c r="K612">
        <f>SUM(C612)</f>
        <v/>
      </c>
      <c r="L612">
        <f>SUM(K612,D612)</f>
        <v/>
      </c>
      <c r="M612">
        <f>SUM(L612,E612,F612)</f>
        <v/>
      </c>
      <c r="N612">
        <f>IF(L612=0, -1, K612/L612)</f>
        <v/>
      </c>
      <c r="O612">
        <f>IF(M612=0, -1, K612/M612)</f>
        <v/>
      </c>
      <c r="P612">
        <f>IF(M612=0, -1, L612/M612)</f>
        <v/>
      </c>
    </row>
    <row r="613">
      <c r="A613" t="inlineStr">
        <is>
          <t>RC00866</t>
        </is>
      </c>
      <c r="B613" t="inlineStr">
        <is>
          <t>昆山杜克大学</t>
        </is>
      </c>
      <c r="C613" t="n">
        <v>0</v>
      </c>
      <c r="D613" t="n">
        <v>0</v>
      </c>
      <c r="E613" t="n">
        <v>2</v>
      </c>
      <c r="F613" t="n">
        <v>8</v>
      </c>
      <c r="G613" t="n">
        <v>18287.95494642394</v>
      </c>
      <c r="H613" t="n">
        <v>48.84739008261634</v>
      </c>
      <c r="I613">
        <f>IF(H613=0, 0, G613/H613)</f>
        <v/>
      </c>
      <c r="J613">
        <f>RANK(I613, I$2:I$1111, 0)</f>
        <v/>
      </c>
      <c r="K613">
        <f>SUM(C613)</f>
        <v/>
      </c>
      <c r="L613">
        <f>SUM(K613,D613)</f>
        <v/>
      </c>
      <c r="M613">
        <f>SUM(L613,E613,F613)</f>
        <v/>
      </c>
      <c r="N613">
        <f>IF(L613=0, -1, K613/L613)</f>
        <v/>
      </c>
      <c r="O613">
        <f>IF(M613=0, -1, K613/M613)</f>
        <v/>
      </c>
      <c r="P613">
        <f>IF(M613=0, -1, L613/M613)</f>
        <v/>
      </c>
    </row>
    <row r="614">
      <c r="A614" t="inlineStr">
        <is>
          <t>RC00427</t>
        </is>
      </c>
      <c r="B614" t="inlineStr">
        <is>
          <t>福建医科大学</t>
        </is>
      </c>
      <c r="C614" t="n">
        <v>0</v>
      </c>
      <c r="D614" t="n">
        <v>6</v>
      </c>
      <c r="E614" t="n">
        <v>12</v>
      </c>
      <c r="F614" t="n">
        <v>4</v>
      </c>
      <c r="G614" t="n">
        <v>58091.3216692637</v>
      </c>
      <c r="H614" t="n">
        <v>91.00792914325255</v>
      </c>
      <c r="I614">
        <f>IF(H614=0, 0, G614/H614)</f>
        <v/>
      </c>
      <c r="J614">
        <f>RANK(I614, I$2:I$1111, 0)</f>
        <v/>
      </c>
      <c r="K614">
        <f>SUM(C614)</f>
        <v/>
      </c>
      <c r="L614">
        <f>SUM(K614,D614)</f>
        <v/>
      </c>
      <c r="M614">
        <f>SUM(L614,E614,F614)</f>
        <v/>
      </c>
      <c r="N614">
        <f>IF(L614=0, -1, K614/L614)</f>
        <v/>
      </c>
      <c r="O614">
        <f>IF(M614=0, -1, K614/M614)</f>
        <v/>
      </c>
      <c r="P614">
        <f>IF(M614=0, -1, L614/M614)</f>
        <v/>
      </c>
    </row>
    <row r="615">
      <c r="A615" t="inlineStr">
        <is>
          <t>RC00215</t>
        </is>
      </c>
      <c r="B615" t="inlineStr">
        <is>
          <t>山西医科大学</t>
        </is>
      </c>
      <c r="C615" t="n">
        <v>0</v>
      </c>
      <c r="D615" t="n">
        <v>3</v>
      </c>
      <c r="E615" t="n">
        <v>12</v>
      </c>
      <c r="F615" t="n">
        <v>11</v>
      </c>
      <c r="G615" t="n">
        <v>57796.3938828466</v>
      </c>
      <c r="H615" t="n">
        <v>105.1867749250442</v>
      </c>
      <c r="I615">
        <f>IF(H615=0, 0, G615/H615)</f>
        <v/>
      </c>
      <c r="J615">
        <f>RANK(I615, I$2:I$1111, 0)</f>
        <v/>
      </c>
      <c r="K615">
        <f>SUM(C615)</f>
        <v/>
      </c>
      <c r="L615">
        <f>SUM(K615,D615)</f>
        <v/>
      </c>
      <c r="M615">
        <f>SUM(L615,E615,F615)</f>
        <v/>
      </c>
      <c r="N615">
        <f>IF(L615=0, -1, K615/L615)</f>
        <v/>
      </c>
      <c r="O615">
        <f>IF(M615=0, -1, K615/M615)</f>
        <v/>
      </c>
      <c r="P615">
        <f>IF(M615=0, -1, L615/M615)</f>
        <v/>
      </c>
    </row>
    <row r="616">
      <c r="A616" t="inlineStr">
        <is>
          <t>RC00594</t>
        </is>
      </c>
      <c r="B616" t="inlineStr">
        <is>
          <t>广东医科大学</t>
        </is>
      </c>
      <c r="C616" t="n">
        <v>0</v>
      </c>
      <c r="D616" t="n">
        <v>0</v>
      </c>
      <c r="E616" t="n">
        <v>12</v>
      </c>
      <c r="F616" t="n">
        <v>14</v>
      </c>
      <c r="G616" t="n">
        <v>52647.92534853937</v>
      </c>
      <c r="H616" t="n">
        <v>105.7817087762118</v>
      </c>
      <c r="I616">
        <f>IF(H616=0, 0, G616/H616)</f>
        <v/>
      </c>
      <c r="J616">
        <f>RANK(I616, I$2:I$1111, 0)</f>
        <v/>
      </c>
      <c r="K616">
        <f>SUM(C616)</f>
        <v/>
      </c>
      <c r="L616">
        <f>SUM(K616,D616)</f>
        <v/>
      </c>
      <c r="M616">
        <f>SUM(L616,E616,F616)</f>
        <v/>
      </c>
      <c r="N616">
        <f>IF(L616=0, -1, K616/L616)</f>
        <v/>
      </c>
      <c r="O616">
        <f>IF(M616=0, -1, K616/M616)</f>
        <v/>
      </c>
      <c r="P616">
        <f>IF(M616=0, -1, L616/M616)</f>
        <v/>
      </c>
    </row>
    <row r="617">
      <c r="A617" t="inlineStr">
        <is>
          <t>RC00623</t>
        </is>
      </c>
      <c r="B617" t="inlineStr">
        <is>
          <t>广西医科大学</t>
        </is>
      </c>
      <c r="C617" t="n">
        <v>0</v>
      </c>
      <c r="D617" t="n">
        <v>1</v>
      </c>
      <c r="E617" t="n">
        <v>11</v>
      </c>
      <c r="F617" t="n">
        <v>17</v>
      </c>
      <c r="G617" t="n">
        <v>61845.49836179884</v>
      </c>
      <c r="H617" t="n">
        <v>120.0006515122487</v>
      </c>
      <c r="I617">
        <f>IF(H617=0, 0, G617/H617)</f>
        <v/>
      </c>
      <c r="J617">
        <f>RANK(I617, I$2:I$1111, 0)</f>
        <v/>
      </c>
      <c r="K617">
        <f>SUM(C617)</f>
        <v/>
      </c>
      <c r="L617">
        <f>SUM(K617,D617)</f>
        <v/>
      </c>
      <c r="M617">
        <f>SUM(L617,E617,F617)</f>
        <v/>
      </c>
      <c r="N617">
        <f>IF(L617=0, -1, K617/L617)</f>
        <v/>
      </c>
      <c r="O617">
        <f>IF(M617=0, -1, K617/M617)</f>
        <v/>
      </c>
      <c r="P617">
        <f>IF(M617=0, -1, L617/M617)</f>
        <v/>
      </c>
    </row>
    <row r="618">
      <c r="A618" t="inlineStr">
        <is>
          <t>RC00674</t>
        </is>
      </c>
      <c r="B618" t="inlineStr">
        <is>
          <t>宜宾学院</t>
        </is>
      </c>
      <c r="C618" t="n">
        <v>0</v>
      </c>
      <c r="D618" t="n">
        <v>0</v>
      </c>
      <c r="E618" t="n">
        <v>4</v>
      </c>
      <c r="F618" t="n">
        <v>22</v>
      </c>
      <c r="G618" t="n">
        <v>43078.67405314176</v>
      </c>
      <c r="H618" t="n">
        <v>124.5420891091334</v>
      </c>
      <c r="I618">
        <f>IF(H618=0, 0, G618/H618)</f>
        <v/>
      </c>
      <c r="J618">
        <f>RANK(I618, I$2:I$1111, 0)</f>
        <v/>
      </c>
      <c r="K618">
        <f>SUM(C618)</f>
        <v/>
      </c>
      <c r="L618">
        <f>SUM(K618,D618)</f>
        <v/>
      </c>
      <c r="M618">
        <f>SUM(L618,E618,F618)</f>
        <v/>
      </c>
      <c r="N618">
        <f>IF(L618=0, -1, K618/L618)</f>
        <v/>
      </c>
      <c r="O618">
        <f>IF(M618=0, -1, K618/M618)</f>
        <v/>
      </c>
      <c r="P618">
        <f>IF(M618=0, -1, L618/M618)</f>
        <v/>
      </c>
    </row>
    <row r="619">
      <c r="A619" t="inlineStr">
        <is>
          <t>RC00473</t>
        </is>
      </c>
      <c r="B619" t="inlineStr">
        <is>
          <t>山东第一医科大学</t>
        </is>
      </c>
      <c r="C619" t="n">
        <v>0</v>
      </c>
      <c r="D619" t="n">
        <v>2</v>
      </c>
      <c r="E619" t="n">
        <v>12</v>
      </c>
      <c r="F619" t="n">
        <v>18</v>
      </c>
      <c r="G619" t="n">
        <v>63079.2477974801</v>
      </c>
      <c r="H619" t="n">
        <v>131.4680572421223</v>
      </c>
      <c r="I619">
        <f>IF(H619=0, 0, G619/H619)</f>
        <v/>
      </c>
      <c r="J619">
        <f>RANK(I619, I$2:I$1111, 0)</f>
        <v/>
      </c>
      <c r="K619">
        <f>SUM(C619)</f>
        <v/>
      </c>
      <c r="L619">
        <f>SUM(K619,D619)</f>
        <v/>
      </c>
      <c r="M619">
        <f>SUM(L619,E619,F619)</f>
        <v/>
      </c>
      <c r="N619">
        <f>IF(L619=0, -1, K619/L619)</f>
        <v/>
      </c>
      <c r="O619">
        <f>IF(M619=0, -1, K619/M619)</f>
        <v/>
      </c>
      <c r="P619">
        <f>IF(M619=0, -1, L619/M619)</f>
        <v/>
      </c>
    </row>
    <row r="620">
      <c r="A620" t="inlineStr">
        <is>
          <t>RC00705</t>
        </is>
      </c>
      <c r="B620" t="inlineStr">
        <is>
          <t>云南农业大学</t>
        </is>
      </c>
      <c r="C620" t="n">
        <v>0</v>
      </c>
      <c r="D620" t="n">
        <v>1</v>
      </c>
      <c r="E620" t="n">
        <v>12</v>
      </c>
      <c r="F620" t="n">
        <v>31</v>
      </c>
      <c r="G620" t="n">
        <v>80561.89606368524</v>
      </c>
      <c r="H620" t="n">
        <v>196.2915551672679</v>
      </c>
      <c r="I620">
        <f>IF(H620=0, 0, G620/H620)</f>
        <v/>
      </c>
      <c r="J620">
        <f>RANK(I620, I$2:I$1111, 0)</f>
        <v/>
      </c>
      <c r="K620">
        <f>SUM(C620)</f>
        <v/>
      </c>
      <c r="L620">
        <f>SUM(K620,D620)</f>
        <v/>
      </c>
      <c r="M620">
        <f>SUM(L620,E620,F620)</f>
        <v/>
      </c>
      <c r="N620">
        <f>IF(L620=0, -1, K620/L620)</f>
        <v/>
      </c>
      <c r="O620">
        <f>IF(M620=0, -1, K620/M620)</f>
        <v/>
      </c>
      <c r="P620">
        <f>IF(M620=0, -1, L620/M620)</f>
        <v/>
      </c>
    </row>
    <row r="621">
      <c r="A621" t="inlineStr">
        <is>
          <t>RC00698</t>
        </is>
      </c>
      <c r="B621" t="inlineStr">
        <is>
          <t>黔南民族师范学院</t>
        </is>
      </c>
      <c r="C621" t="n">
        <v>0</v>
      </c>
      <c r="D621" t="n">
        <v>0</v>
      </c>
      <c r="E621" t="n">
        <v>3</v>
      </c>
      <c r="F621" t="n">
        <v>16</v>
      </c>
      <c r="G621" t="n">
        <v>34916.40463853816</v>
      </c>
      <c r="H621" t="n">
        <v>100.923790260404</v>
      </c>
      <c r="I621">
        <f>IF(H621=0, 0, G621/H621)</f>
        <v/>
      </c>
      <c r="J621">
        <f>RANK(I621, I$2:I$1111, 0)</f>
        <v/>
      </c>
      <c r="K621">
        <f>SUM(C621)</f>
        <v/>
      </c>
      <c r="L621">
        <f>SUM(K621,D621)</f>
        <v/>
      </c>
      <c r="M621">
        <f>SUM(L621,E621,F621)</f>
        <v/>
      </c>
      <c r="N621">
        <f>IF(L621=0, -1, K621/L621)</f>
        <v/>
      </c>
      <c r="O621">
        <f>IF(M621=0, -1, K621/M621)</f>
        <v/>
      </c>
      <c r="P621">
        <f>IF(M621=0, -1, L621/M621)</f>
        <v/>
      </c>
    </row>
    <row r="622">
      <c r="A622" t="inlineStr">
        <is>
          <t>RC00641</t>
        </is>
      </c>
      <c r="B622" t="inlineStr">
        <is>
          <t>海南热带海洋学院</t>
        </is>
      </c>
      <c r="C622" t="n">
        <v>0</v>
      </c>
      <c r="D622" t="n">
        <v>0</v>
      </c>
      <c r="E622" t="n">
        <v>4</v>
      </c>
      <c r="F622" t="n">
        <v>14</v>
      </c>
      <c r="G622" t="n">
        <v>31808.20760140564</v>
      </c>
      <c r="H622" t="n">
        <v>93.56196823344546</v>
      </c>
      <c r="I622">
        <f>IF(H622=0, 0, G622/H622)</f>
        <v/>
      </c>
      <c r="J622">
        <f>RANK(I622, I$2:I$1111, 0)</f>
        <v/>
      </c>
      <c r="K622">
        <f>SUM(C622)</f>
        <v/>
      </c>
      <c r="L622">
        <f>SUM(K622,D622)</f>
        <v/>
      </c>
      <c r="M622">
        <f>SUM(L622,E622,F622)</f>
        <v/>
      </c>
      <c r="N622">
        <f>IF(L622=0, -1, K622/L622)</f>
        <v/>
      </c>
      <c r="O622">
        <f>IF(M622=0, -1, K622/M622)</f>
        <v/>
      </c>
      <c r="P622">
        <f>IF(M622=0, -1, L622/M622)</f>
        <v/>
      </c>
    </row>
    <row r="623">
      <c r="A623" t="inlineStr">
        <is>
          <t>RC00235</t>
        </is>
      </c>
      <c r="B623" t="inlineStr">
        <is>
          <t>内蒙古医科大学</t>
        </is>
      </c>
      <c r="C623" t="n">
        <v>0</v>
      </c>
      <c r="D623" t="n">
        <v>0</v>
      </c>
      <c r="E623" t="n">
        <v>2</v>
      </c>
      <c r="F623" t="n">
        <v>15</v>
      </c>
      <c r="G623" t="n">
        <v>29598.11967673994</v>
      </c>
      <c r="H623" t="n">
        <v>80.4599217435297</v>
      </c>
      <c r="I623">
        <f>IF(H623=0, 0, G623/H623)</f>
        <v/>
      </c>
      <c r="J623">
        <f>RANK(I623, I$2:I$1111, 0)</f>
        <v/>
      </c>
      <c r="K623">
        <f>SUM(C623)</f>
        <v/>
      </c>
      <c r="L623">
        <f>SUM(K623,D623)</f>
        <v/>
      </c>
      <c r="M623">
        <f>SUM(L623,E623,F623)</f>
        <v/>
      </c>
      <c r="N623">
        <f>IF(L623=0, -1, K623/L623)</f>
        <v/>
      </c>
      <c r="O623">
        <f>IF(M623=0, -1, K623/M623)</f>
        <v/>
      </c>
      <c r="P623">
        <f>IF(M623=0, -1, L623/M623)</f>
        <v/>
      </c>
    </row>
    <row r="624">
      <c r="A624" t="inlineStr">
        <is>
          <t>RC00610</t>
        </is>
      </c>
      <c r="B624" t="inlineStr">
        <is>
          <t>广东警官学院</t>
        </is>
      </c>
      <c r="C624" t="n">
        <v>0</v>
      </c>
      <c r="D624" t="n">
        <v>0</v>
      </c>
      <c r="E624" t="n">
        <v>2</v>
      </c>
      <c r="F624" t="n">
        <v>7</v>
      </c>
      <c r="G624" t="n">
        <v>14776.13630802979</v>
      </c>
      <c r="H624" t="n">
        <v>25.55994081863389</v>
      </c>
      <c r="I624">
        <f>IF(H624=0, 0, G624/H624)</f>
        <v/>
      </c>
      <c r="J624">
        <f>RANK(I624, I$2:I$1111, 0)</f>
        <v/>
      </c>
      <c r="K624">
        <f>SUM(C624)</f>
        <v/>
      </c>
      <c r="L624">
        <f>SUM(K624,D624)</f>
        <v/>
      </c>
      <c r="M624">
        <f>SUM(L624,E624,F624)</f>
        <v/>
      </c>
      <c r="N624">
        <f>IF(L624=0, -1, K624/L624)</f>
        <v/>
      </c>
      <c r="O624">
        <f>IF(M624=0, -1, K624/M624)</f>
        <v/>
      </c>
      <c r="P624">
        <f>IF(M624=0, -1, L624/M624)</f>
        <v/>
      </c>
    </row>
    <row r="625">
      <c r="A625" t="inlineStr">
        <is>
          <t>RC00287</t>
        </is>
      </c>
      <c r="B625" t="inlineStr">
        <is>
          <t>吉林农业大学</t>
        </is>
      </c>
      <c r="C625" t="n">
        <v>2</v>
      </c>
      <c r="D625" t="n">
        <v>1</v>
      </c>
      <c r="E625" t="n">
        <v>16</v>
      </c>
      <c r="F625" t="n">
        <v>21</v>
      </c>
      <c r="G625" t="n">
        <v>76357.13476471022</v>
      </c>
      <c r="H625" t="n">
        <v>169.2626310099911</v>
      </c>
      <c r="I625">
        <f>IF(H625=0, 0, G625/H625)</f>
        <v/>
      </c>
      <c r="J625">
        <f>RANK(I625, I$2:I$1111, 0)</f>
        <v/>
      </c>
      <c r="K625">
        <f>SUM(C625)</f>
        <v/>
      </c>
      <c r="L625">
        <f>SUM(K625,D625)</f>
        <v/>
      </c>
      <c r="M625">
        <f>SUM(L625,E625,F625)</f>
        <v/>
      </c>
      <c r="N625">
        <f>IF(L625=0, -1, K625/L625)</f>
        <v/>
      </c>
      <c r="O625">
        <f>IF(M625=0, -1, K625/M625)</f>
        <v/>
      </c>
      <c r="P625">
        <f>IF(M625=0, -1, L625/M625)</f>
        <v/>
      </c>
    </row>
    <row r="626">
      <c r="A626" t="inlineStr">
        <is>
          <t>RC00788</t>
        </is>
      </c>
      <c r="B626" t="inlineStr">
        <is>
          <t>昌吉学院</t>
        </is>
      </c>
      <c r="C626" t="n">
        <v>0</v>
      </c>
      <c r="D626" t="n">
        <v>0</v>
      </c>
      <c r="E626" t="n">
        <v>1</v>
      </c>
      <c r="F626" t="n">
        <v>7</v>
      </c>
      <c r="G626" t="n">
        <v>10435.55225446677</v>
      </c>
      <c r="H626" t="n">
        <v>32.56406032382655</v>
      </c>
      <c r="I626">
        <f>IF(H626=0, 0, G626/H626)</f>
        <v/>
      </c>
      <c r="J626">
        <f>RANK(I626, I$2:I$1111, 0)</f>
        <v/>
      </c>
      <c r="K626">
        <f>SUM(C626)</f>
        <v/>
      </c>
      <c r="L626">
        <f>SUM(K626,D626)</f>
        <v/>
      </c>
      <c r="M626">
        <f>SUM(L626,E626,F626)</f>
        <v/>
      </c>
      <c r="N626">
        <f>IF(L626=0, -1, K626/L626)</f>
        <v/>
      </c>
      <c r="O626">
        <f>IF(M626=0, -1, K626/M626)</f>
        <v/>
      </c>
      <c r="P626">
        <f>IF(M626=0, -1, L626/M626)</f>
        <v/>
      </c>
    </row>
    <row r="627">
      <c r="A627" t="inlineStr">
        <is>
          <t>RC01111</t>
        </is>
      </c>
      <c r="B627" t="inlineStr">
        <is>
          <t>聊城大学东昌学院</t>
        </is>
      </c>
      <c r="C627" t="n">
        <v>0</v>
      </c>
      <c r="D627" t="n">
        <v>0</v>
      </c>
      <c r="E627" t="n">
        <v>0</v>
      </c>
      <c r="F627" t="n">
        <v>2</v>
      </c>
      <c r="G627" t="n">
        <v>2352.128156963425</v>
      </c>
      <c r="H627" t="n">
        <v>7.293017679772782</v>
      </c>
      <c r="I627">
        <f>IF(H627=0, 0, G627/H627)</f>
        <v/>
      </c>
      <c r="J627">
        <f>RANK(I627, I$2:I$1111, 0)</f>
        <v/>
      </c>
      <c r="K627">
        <f>SUM(C627)</f>
        <v/>
      </c>
      <c r="L627">
        <f>SUM(K627,D627)</f>
        <v/>
      </c>
      <c r="M627">
        <f>SUM(L627,E627,F627)</f>
        <v/>
      </c>
      <c r="N627">
        <f>IF(L627=0, -1, K627/L627)</f>
        <v/>
      </c>
      <c r="O627">
        <f>IF(M627=0, -1, K627/M627)</f>
        <v/>
      </c>
      <c r="P627">
        <f>IF(M627=0, -1, L627/M627)</f>
        <v/>
      </c>
    </row>
    <row r="628">
      <c r="A628" t="inlineStr">
        <is>
          <t>RC00647</t>
        </is>
      </c>
      <c r="B628" t="inlineStr">
        <is>
          <t>重庆文理学院</t>
        </is>
      </c>
      <c r="C628" t="n">
        <v>0</v>
      </c>
      <c r="D628" t="n">
        <v>0</v>
      </c>
      <c r="E628" t="n">
        <v>17</v>
      </c>
      <c r="F628" t="n">
        <v>30</v>
      </c>
      <c r="G628" t="n">
        <v>87870.98399313045</v>
      </c>
      <c r="H628" t="n">
        <v>226.6302069973958</v>
      </c>
      <c r="I628">
        <f>IF(H628=0, 0, G628/H628)</f>
        <v/>
      </c>
      <c r="J628">
        <f>RANK(I628, I$2:I$1111, 0)</f>
        <v/>
      </c>
      <c r="K628">
        <f>SUM(C628)</f>
        <v/>
      </c>
      <c r="L628">
        <f>SUM(K628,D628)</f>
        <v/>
      </c>
      <c r="M628">
        <f>SUM(L628,E628,F628)</f>
        <v/>
      </c>
      <c r="N628">
        <f>IF(L628=0, -1, K628/L628)</f>
        <v/>
      </c>
      <c r="O628">
        <f>IF(M628=0, -1, K628/M628)</f>
        <v/>
      </c>
      <c r="P628">
        <f>IF(M628=0, -1, L628/M628)</f>
        <v/>
      </c>
    </row>
    <row r="629">
      <c r="A629" t="inlineStr">
        <is>
          <t>RC00316</t>
        </is>
      </c>
      <c r="B629" t="inlineStr">
        <is>
          <t>牡丹江师范学院</t>
        </is>
      </c>
      <c r="C629" t="n">
        <v>0</v>
      </c>
      <c r="D629" t="n">
        <v>0</v>
      </c>
      <c r="E629" t="n">
        <v>2</v>
      </c>
      <c r="F629" t="n">
        <v>20</v>
      </c>
      <c r="G629" t="n">
        <v>40031.22245990623</v>
      </c>
      <c r="H629" t="n">
        <v>113.2320212753761</v>
      </c>
      <c r="I629">
        <f>IF(H629=0, 0, G629/H629)</f>
        <v/>
      </c>
      <c r="J629">
        <f>RANK(I629, I$2:I$1111, 0)</f>
        <v/>
      </c>
      <c r="K629">
        <f>SUM(C629)</f>
        <v/>
      </c>
      <c r="L629">
        <f>SUM(K629,D629)</f>
        <v/>
      </c>
      <c r="M629">
        <f>SUM(L629,E629,F629)</f>
        <v/>
      </c>
      <c r="N629">
        <f>IF(L629=0, -1, K629/L629)</f>
        <v/>
      </c>
      <c r="O629">
        <f>IF(M629=0, -1, K629/M629)</f>
        <v/>
      </c>
      <c r="P629">
        <f>IF(M629=0, -1, L629/M629)</f>
        <v/>
      </c>
    </row>
    <row r="630">
      <c r="A630" t="inlineStr">
        <is>
          <t>RC00692</t>
        </is>
      </c>
      <c r="B630" t="inlineStr">
        <is>
          <t>遵义师范学院</t>
        </is>
      </c>
      <c r="C630" t="n">
        <v>0</v>
      </c>
      <c r="D630" t="n">
        <v>0</v>
      </c>
      <c r="E630" t="n">
        <v>3</v>
      </c>
      <c r="F630" t="n">
        <v>12</v>
      </c>
      <c r="G630" t="n">
        <v>26324.33253468946</v>
      </c>
      <c r="H630" t="n">
        <v>74.76381388995165</v>
      </c>
      <c r="I630">
        <f>IF(H630=0, 0, G630/H630)</f>
        <v/>
      </c>
      <c r="J630">
        <f>RANK(I630, I$2:I$1111, 0)</f>
        <v/>
      </c>
      <c r="K630">
        <f>SUM(C630)</f>
        <v/>
      </c>
      <c r="L630">
        <f>SUM(K630,D630)</f>
        <v/>
      </c>
      <c r="M630">
        <f>SUM(L630,E630,F630)</f>
        <v/>
      </c>
      <c r="N630">
        <f>IF(L630=0, -1, K630/L630)</f>
        <v/>
      </c>
      <c r="O630">
        <f>IF(M630=0, -1, K630/M630)</f>
        <v/>
      </c>
      <c r="P630">
        <f>IF(M630=0, -1, L630/M630)</f>
        <v/>
      </c>
    </row>
    <row r="631">
      <c r="A631" t="inlineStr">
        <is>
          <t>RC00432</t>
        </is>
      </c>
      <c r="B631" t="inlineStr">
        <is>
          <t>宁德师范学院</t>
        </is>
      </c>
      <c r="C631" t="n">
        <v>0</v>
      </c>
      <c r="D631" t="n">
        <v>0</v>
      </c>
      <c r="E631" t="n">
        <v>4</v>
      </c>
      <c r="F631" t="n">
        <v>12</v>
      </c>
      <c r="G631" t="n">
        <v>27528.54559555339</v>
      </c>
      <c r="H631" t="n">
        <v>76.42473021315547</v>
      </c>
      <c r="I631">
        <f>IF(H631=0, 0, G631/H631)</f>
        <v/>
      </c>
      <c r="J631">
        <f>RANK(I631, I$2:I$1111, 0)</f>
        <v/>
      </c>
      <c r="K631">
        <f>SUM(C631)</f>
        <v/>
      </c>
      <c r="L631">
        <f>SUM(K631,D631)</f>
        <v/>
      </c>
      <c r="M631">
        <f>SUM(L631,E631,F631)</f>
        <v/>
      </c>
      <c r="N631">
        <f>IF(L631=0, -1, K631/L631)</f>
        <v/>
      </c>
      <c r="O631">
        <f>IF(M631=0, -1, K631/M631)</f>
        <v/>
      </c>
      <c r="P631">
        <f>IF(M631=0, -1, L631/M631)</f>
        <v/>
      </c>
    </row>
    <row r="632">
      <c r="A632" t="inlineStr">
        <is>
          <t>RC00462</t>
        </is>
      </c>
      <c r="B632" t="inlineStr">
        <is>
          <t>南昌师范学院</t>
        </is>
      </c>
      <c r="C632" t="n">
        <v>0</v>
      </c>
      <c r="D632" t="n">
        <v>0</v>
      </c>
      <c r="E632" t="n">
        <v>4</v>
      </c>
      <c r="F632" t="n">
        <v>10</v>
      </c>
      <c r="G632" t="n">
        <v>27082.9601063652</v>
      </c>
      <c r="H632" t="n">
        <v>73.29651947169781</v>
      </c>
      <c r="I632">
        <f>IF(H632=0, 0, G632/H632)</f>
        <v/>
      </c>
      <c r="J632">
        <f>RANK(I632, I$2:I$1111, 0)</f>
        <v/>
      </c>
      <c r="K632">
        <f>SUM(C632)</f>
        <v/>
      </c>
      <c r="L632">
        <f>SUM(K632,D632)</f>
        <v/>
      </c>
      <c r="M632">
        <f>SUM(L632,E632,F632)</f>
        <v/>
      </c>
      <c r="N632">
        <f>IF(L632=0, -1, K632/L632)</f>
        <v/>
      </c>
      <c r="O632">
        <f>IF(M632=0, -1, K632/M632)</f>
        <v/>
      </c>
      <c r="P632">
        <f>IF(M632=0, -1, L632/M632)</f>
        <v/>
      </c>
    </row>
    <row r="633">
      <c r="A633" t="inlineStr">
        <is>
          <t>RC01553</t>
        </is>
      </c>
      <c r="B633" t="inlineStr">
        <is>
          <t>中国消防救援学院</t>
        </is>
      </c>
      <c r="C633" t="n">
        <v>0</v>
      </c>
      <c r="D633" t="n">
        <v>0</v>
      </c>
      <c r="E633" t="n">
        <v>1</v>
      </c>
      <c r="F633" t="n">
        <v>2</v>
      </c>
      <c r="G633" t="n">
        <v>4047.960789291166</v>
      </c>
      <c r="H633" t="n">
        <v>9.30428598481871</v>
      </c>
      <c r="I633">
        <f>IF(H633=0, 0, G633/H633)</f>
        <v/>
      </c>
      <c r="J633">
        <f>RANK(I633, I$2:I$1111, 0)</f>
        <v/>
      </c>
      <c r="K633">
        <f>SUM(C633)</f>
        <v/>
      </c>
      <c r="L633">
        <f>SUM(K633,D633)</f>
        <v/>
      </c>
      <c r="M633">
        <f>SUM(L633,E633,F633)</f>
        <v/>
      </c>
      <c r="N633">
        <f>IF(L633=0, -1, K633/L633)</f>
        <v/>
      </c>
      <c r="O633">
        <f>IF(M633=0, -1, K633/M633)</f>
        <v/>
      </c>
      <c r="P633">
        <f>IF(M633=0, -1, L633/M633)</f>
        <v/>
      </c>
    </row>
    <row r="634">
      <c r="A634" t="inlineStr">
        <is>
          <t>RC00712</t>
        </is>
      </c>
      <c r="B634" t="inlineStr">
        <is>
          <t>曲靖师范学院</t>
        </is>
      </c>
      <c r="C634" t="n">
        <v>0</v>
      </c>
      <c r="D634" t="n">
        <v>0</v>
      </c>
      <c r="E634" t="n">
        <v>2</v>
      </c>
      <c r="F634" t="n">
        <v>8</v>
      </c>
      <c r="G634" t="n">
        <v>18684.1245030386</v>
      </c>
      <c r="H634" t="n">
        <v>52.08238326402706</v>
      </c>
      <c r="I634">
        <f>IF(H634=0, 0, G634/H634)</f>
        <v/>
      </c>
      <c r="J634">
        <f>RANK(I634, I$2:I$1111, 0)</f>
        <v/>
      </c>
      <c r="K634">
        <f>SUM(C634)</f>
        <v/>
      </c>
      <c r="L634">
        <f>SUM(K634,D634)</f>
        <v/>
      </c>
      <c r="M634">
        <f>SUM(L634,E634,F634)</f>
        <v/>
      </c>
      <c r="N634">
        <f>IF(L634=0, -1, K634/L634)</f>
        <v/>
      </c>
      <c r="O634">
        <f>IF(M634=0, -1, K634/M634)</f>
        <v/>
      </c>
      <c r="P634">
        <f>IF(M634=0, -1, L634/M634)</f>
        <v/>
      </c>
    </row>
    <row r="635">
      <c r="A635" t="inlineStr">
        <is>
          <t>RC00218</t>
        </is>
      </c>
      <c r="B635" t="inlineStr">
        <is>
          <t>太原师范学院</t>
        </is>
      </c>
      <c r="C635" t="n">
        <v>1</v>
      </c>
      <c r="D635" t="n">
        <v>1</v>
      </c>
      <c r="E635" t="n">
        <v>11</v>
      </c>
      <c r="F635" t="n">
        <v>22</v>
      </c>
      <c r="G635" t="n">
        <v>65416.44548610321</v>
      </c>
      <c r="H635" t="n">
        <v>169.7956132638522</v>
      </c>
      <c r="I635">
        <f>IF(H635=0, 0, G635/H635)</f>
        <v/>
      </c>
      <c r="J635">
        <f>RANK(I635, I$2:I$1111, 0)</f>
        <v/>
      </c>
      <c r="K635">
        <f>SUM(C635)</f>
        <v/>
      </c>
      <c r="L635">
        <f>SUM(K635,D635)</f>
        <v/>
      </c>
      <c r="M635">
        <f>SUM(L635,E635,F635)</f>
        <v/>
      </c>
      <c r="N635">
        <f>IF(L635=0, -1, K635/L635)</f>
        <v/>
      </c>
      <c r="O635">
        <f>IF(M635=0, -1, K635/M635)</f>
        <v/>
      </c>
      <c r="P635">
        <f>IF(M635=0, -1, L635/M635)</f>
        <v/>
      </c>
    </row>
    <row r="636">
      <c r="A636" t="inlineStr">
        <is>
          <t>RC00484</t>
        </is>
      </c>
      <c r="B636" t="inlineStr">
        <is>
          <t>泰山学院</t>
        </is>
      </c>
      <c r="C636" t="n">
        <v>0</v>
      </c>
      <c r="D636" t="n">
        <v>0</v>
      </c>
      <c r="E636" t="n">
        <v>0</v>
      </c>
      <c r="F636" t="n">
        <v>19</v>
      </c>
      <c r="G636" t="n">
        <v>31287.95887082657</v>
      </c>
      <c r="H636" t="n">
        <v>101.8217826804797</v>
      </c>
      <c r="I636">
        <f>IF(H636=0, 0, G636/H636)</f>
        <v/>
      </c>
      <c r="J636">
        <f>RANK(I636, I$2:I$1111, 0)</f>
        <v/>
      </c>
      <c r="K636">
        <f>SUM(C636)</f>
        <v/>
      </c>
      <c r="L636">
        <f>SUM(K636,D636)</f>
        <v/>
      </c>
      <c r="M636">
        <f>SUM(L636,E636,F636)</f>
        <v/>
      </c>
      <c r="N636">
        <f>IF(L636=0, -1, K636/L636)</f>
        <v/>
      </c>
      <c r="O636">
        <f>IF(M636=0, -1, K636/M636)</f>
        <v/>
      </c>
      <c r="P636">
        <f>IF(M636=0, -1, L636/M636)</f>
        <v/>
      </c>
    </row>
    <row r="637">
      <c r="A637" t="inlineStr">
        <is>
          <t>RC00719</t>
        </is>
      </c>
      <c r="B637" t="inlineStr">
        <is>
          <t>玉溪师范学院</t>
        </is>
      </c>
      <c r="C637" t="n">
        <v>0</v>
      </c>
      <c r="D637" t="n">
        <v>0</v>
      </c>
      <c r="E637" t="n">
        <v>5</v>
      </c>
      <c r="F637" t="n">
        <v>9</v>
      </c>
      <c r="G637" t="n">
        <v>24890.52559434407</v>
      </c>
      <c r="H637" t="n">
        <v>68.58492882850879</v>
      </c>
      <c r="I637">
        <f>IF(H637=0, 0, G637/H637)</f>
        <v/>
      </c>
      <c r="J637">
        <f>RANK(I637, I$2:I$1111, 0)</f>
        <v/>
      </c>
      <c r="K637">
        <f>SUM(C637)</f>
        <v/>
      </c>
      <c r="L637">
        <f>SUM(K637,D637)</f>
        <v/>
      </c>
      <c r="M637">
        <f>SUM(L637,E637,F637)</f>
        <v/>
      </c>
      <c r="N637">
        <f>IF(L637=0, -1, K637/L637)</f>
        <v/>
      </c>
      <c r="O637">
        <f>IF(M637=0, -1, K637/M637)</f>
        <v/>
      </c>
      <c r="P637">
        <f>IF(M637=0, -1, L637/M637)</f>
        <v/>
      </c>
    </row>
    <row r="638">
      <c r="A638" t="inlineStr">
        <is>
          <t>RC00763</t>
        </is>
      </c>
      <c r="B638" t="inlineStr">
        <is>
          <t>天水师范学院</t>
        </is>
      </c>
      <c r="C638" t="n">
        <v>0</v>
      </c>
      <c r="D638" t="n">
        <v>0</v>
      </c>
      <c r="E638" t="n">
        <v>4</v>
      </c>
      <c r="F638" t="n">
        <v>12</v>
      </c>
      <c r="G638" t="n">
        <v>28516.63914220684</v>
      </c>
      <c r="H638" t="n">
        <v>82.5543109002294</v>
      </c>
      <c r="I638">
        <f>IF(H638=0, 0, G638/H638)</f>
        <v/>
      </c>
      <c r="J638">
        <f>RANK(I638, I$2:I$1111, 0)</f>
        <v/>
      </c>
      <c r="K638">
        <f>SUM(C638)</f>
        <v/>
      </c>
      <c r="L638">
        <f>SUM(K638,D638)</f>
        <v/>
      </c>
      <c r="M638">
        <f>SUM(L638,E638,F638)</f>
        <v/>
      </c>
      <c r="N638">
        <f>IF(L638=0, -1, K638/L638)</f>
        <v/>
      </c>
      <c r="O638">
        <f>IF(M638=0, -1, K638/M638)</f>
        <v/>
      </c>
      <c r="P638">
        <f>IF(M638=0, -1, L638/M638)</f>
        <v/>
      </c>
    </row>
    <row r="639">
      <c r="A639" t="inlineStr">
        <is>
          <t>RC00396</t>
        </is>
      </c>
      <c r="B639" t="inlineStr">
        <is>
          <t>浙江警察学院</t>
        </is>
      </c>
      <c r="C639" t="n">
        <v>2</v>
      </c>
      <c r="D639" t="n">
        <v>0</v>
      </c>
      <c r="E639" t="n">
        <v>5</v>
      </c>
      <c r="F639" t="n">
        <v>1</v>
      </c>
      <c r="G639" t="n">
        <v>16787.44653575235</v>
      </c>
      <c r="H639" t="n">
        <v>20.30468008440753</v>
      </c>
      <c r="I639">
        <f>IF(H639=0, 0, G639/H639)</f>
        <v/>
      </c>
      <c r="J639">
        <f>RANK(I639, I$2:I$1111, 0)</f>
        <v/>
      </c>
      <c r="K639">
        <f>SUM(C639)</f>
        <v/>
      </c>
      <c r="L639">
        <f>SUM(K639,D639)</f>
        <v/>
      </c>
      <c r="M639">
        <f>SUM(L639,E639,F639)</f>
        <v/>
      </c>
      <c r="N639">
        <f>IF(L639=0, -1, K639/L639)</f>
        <v/>
      </c>
      <c r="O639">
        <f>IF(M639=0, -1, K639/M639)</f>
        <v/>
      </c>
      <c r="P639">
        <f>IF(M639=0, -1, L639/M639)</f>
        <v/>
      </c>
    </row>
    <row r="640">
      <c r="A640" t="inlineStr">
        <is>
          <t>RC00685</t>
        </is>
      </c>
      <c r="B640" t="inlineStr">
        <is>
          <t>四川警察学院</t>
        </is>
      </c>
      <c r="C640" t="n">
        <v>4</v>
      </c>
      <c r="D640" t="n">
        <v>1</v>
      </c>
      <c r="E640" t="n">
        <v>4</v>
      </c>
      <c r="F640" t="n">
        <v>0</v>
      </c>
      <c r="G640" t="n">
        <v>15928.72358202108</v>
      </c>
      <c r="H640" t="n">
        <v>21.02030012081953</v>
      </c>
      <c r="I640">
        <f>IF(H640=0, 0, G640/H640)</f>
        <v/>
      </c>
      <c r="J640">
        <f>RANK(I640, I$2:I$1111, 0)</f>
        <v/>
      </c>
      <c r="K640">
        <f>SUM(C640)</f>
        <v/>
      </c>
      <c r="L640">
        <f>SUM(K640,D640)</f>
        <v/>
      </c>
      <c r="M640">
        <f>SUM(L640,E640,F640)</f>
        <v/>
      </c>
      <c r="N640">
        <f>IF(L640=0, -1, K640/L640)</f>
        <v/>
      </c>
      <c r="O640">
        <f>IF(M640=0, -1, K640/M640)</f>
        <v/>
      </c>
      <c r="P640">
        <f>IF(M640=0, -1, L640/M640)</f>
        <v/>
      </c>
    </row>
    <row r="641">
      <c r="A641" t="inlineStr">
        <is>
          <t>RC00372</t>
        </is>
      </c>
      <c r="B641" t="inlineStr">
        <is>
          <t>南京警察学院</t>
        </is>
      </c>
      <c r="C641" t="n">
        <v>2</v>
      </c>
      <c r="D641" t="n">
        <v>0</v>
      </c>
      <c r="E641" t="n">
        <v>5</v>
      </c>
      <c r="F641" t="n">
        <v>3</v>
      </c>
      <c r="G641" t="n">
        <v>16816.02354887242</v>
      </c>
      <c r="H641" t="n">
        <v>22.08814075082088</v>
      </c>
      <c r="I641">
        <f>IF(H641=0, 0, G641/H641)</f>
        <v/>
      </c>
      <c r="J641">
        <f>RANK(I641, I$2:I$1111, 0)</f>
        <v/>
      </c>
      <c r="K641">
        <f>SUM(C641)</f>
        <v/>
      </c>
      <c r="L641">
        <f>SUM(K641,D641)</f>
        <v/>
      </c>
      <c r="M641">
        <f>SUM(L641,E641,F641)</f>
        <v/>
      </c>
      <c r="N641">
        <f>IF(L641=0, -1, K641/L641)</f>
        <v/>
      </c>
      <c r="O641">
        <f>IF(M641=0, -1, K641/M641)</f>
        <v/>
      </c>
      <c r="P641">
        <f>IF(M641=0, -1, L641/M641)</f>
        <v/>
      </c>
    </row>
    <row r="642">
      <c r="A642" t="inlineStr">
        <is>
          <t>RC00269</t>
        </is>
      </c>
      <c r="B642" t="inlineStr">
        <is>
          <t>中国刑事警察学院</t>
        </is>
      </c>
      <c r="C642" t="n">
        <v>7</v>
      </c>
      <c r="D642" t="n">
        <v>1</v>
      </c>
      <c r="E642" t="n">
        <v>3</v>
      </c>
      <c r="F642" t="n">
        <v>0</v>
      </c>
      <c r="G642" t="n">
        <v>21527.76957686342</v>
      </c>
      <c r="H642" t="n">
        <v>23.79288884305931</v>
      </c>
      <c r="I642">
        <f>IF(H642=0, 0, G642/H642)</f>
        <v/>
      </c>
      <c r="J642">
        <f>RANK(I642, I$2:I$1111, 0)</f>
        <v/>
      </c>
      <c r="K642">
        <f>SUM(C642)</f>
        <v/>
      </c>
      <c r="L642">
        <f>SUM(K642,D642)</f>
        <v/>
      </c>
      <c r="M642">
        <f>SUM(L642,E642,F642)</f>
        <v/>
      </c>
      <c r="N642">
        <f>IF(L642=0, -1, K642/L642)</f>
        <v/>
      </c>
      <c r="O642">
        <f>IF(M642=0, -1, K642/M642)</f>
        <v/>
      </c>
      <c r="P642">
        <f>IF(M642=0, -1, L642/M642)</f>
        <v/>
      </c>
    </row>
    <row r="643">
      <c r="A643" t="inlineStr">
        <is>
          <t>RC00357</t>
        </is>
      </c>
      <c r="B643" t="inlineStr">
        <is>
          <t>江苏警官学院</t>
        </is>
      </c>
      <c r="C643" t="n">
        <v>1</v>
      </c>
      <c r="D643" t="n">
        <v>1</v>
      </c>
      <c r="E643" t="n">
        <v>5</v>
      </c>
      <c r="F643" t="n">
        <v>6</v>
      </c>
      <c r="G643" t="n">
        <v>19863.630707778</v>
      </c>
      <c r="H643" t="n">
        <v>29.11752351792472</v>
      </c>
      <c r="I643">
        <f>IF(H643=0, 0, G643/H643)</f>
        <v/>
      </c>
      <c r="J643">
        <f>RANK(I643, I$2:I$1111, 0)</f>
        <v/>
      </c>
      <c r="K643">
        <f>SUM(C643)</f>
        <v/>
      </c>
      <c r="L643">
        <f>SUM(K643,D643)</f>
        <v/>
      </c>
      <c r="M643">
        <f>SUM(L643,E643,F643)</f>
        <v/>
      </c>
      <c r="N643">
        <f>IF(L643=0, -1, K643/L643)</f>
        <v/>
      </c>
      <c r="O643">
        <f>IF(M643=0, -1, K643/M643)</f>
        <v/>
      </c>
      <c r="P643">
        <f>IF(M643=0, -1, L643/M643)</f>
        <v/>
      </c>
    </row>
    <row r="644">
      <c r="A644" t="inlineStr">
        <is>
          <t>RC00587</t>
        </is>
      </c>
      <c r="B644" t="inlineStr">
        <is>
          <t>湖南警察学院</t>
        </is>
      </c>
      <c r="C644" t="n">
        <v>0</v>
      </c>
      <c r="D644" t="n">
        <v>0</v>
      </c>
      <c r="E644" t="n">
        <v>4</v>
      </c>
      <c r="F644" t="n">
        <v>1</v>
      </c>
      <c r="G644" t="n">
        <v>9120.124937510138</v>
      </c>
      <c r="H644" t="n">
        <v>13.47596801276584</v>
      </c>
      <c r="I644">
        <f>IF(H644=0, 0, G644/H644)</f>
        <v/>
      </c>
      <c r="J644">
        <f>RANK(I644, I$2:I$1111, 0)</f>
        <v/>
      </c>
      <c r="K644">
        <f>SUM(C644)</f>
        <v/>
      </c>
      <c r="L644">
        <f>SUM(K644,D644)</f>
        <v/>
      </c>
      <c r="M644">
        <f>SUM(L644,E644,F644)</f>
        <v/>
      </c>
      <c r="N644">
        <f>IF(L644=0, -1, K644/L644)</f>
        <v/>
      </c>
      <c r="O644">
        <f>IF(M644=0, -1, K644/M644)</f>
        <v/>
      </c>
      <c r="P644">
        <f>IF(M644=0, -1, L644/M644)</f>
        <v/>
      </c>
    </row>
    <row r="645">
      <c r="A645" t="inlineStr">
        <is>
          <t>RC00533</t>
        </is>
      </c>
      <c r="B645" t="inlineStr">
        <is>
          <t>河南警察学院</t>
        </is>
      </c>
      <c r="C645" t="n">
        <v>0</v>
      </c>
      <c r="D645" t="n">
        <v>0</v>
      </c>
      <c r="E645" t="n">
        <v>0</v>
      </c>
      <c r="F645" t="n">
        <v>9</v>
      </c>
      <c r="G645" t="n">
        <v>12590.86765645714</v>
      </c>
      <c r="H645" t="n">
        <v>20.93720264315104</v>
      </c>
      <c r="I645">
        <f>IF(H645=0, 0, G645/H645)</f>
        <v/>
      </c>
      <c r="J645">
        <f>RANK(I645, I$2:I$1111, 0)</f>
        <v/>
      </c>
      <c r="K645">
        <f>SUM(C645)</f>
        <v/>
      </c>
      <c r="L645">
        <f>SUM(K645,D645)</f>
        <v/>
      </c>
      <c r="M645">
        <f>SUM(L645,E645,F645)</f>
        <v/>
      </c>
      <c r="N645">
        <f>IF(L645=0, -1, K645/L645)</f>
        <v/>
      </c>
      <c r="O645">
        <f>IF(M645=0, -1, K645/M645)</f>
        <v/>
      </c>
      <c r="P645">
        <f>IF(M645=0, -1, L645/M645)</f>
        <v/>
      </c>
    </row>
    <row r="646">
      <c r="A646" t="inlineStr">
        <is>
          <t>RC00534</t>
        </is>
      </c>
      <c r="B646" t="inlineStr">
        <is>
          <t>郑州警察学院</t>
        </is>
      </c>
      <c r="C646" t="n">
        <v>0</v>
      </c>
      <c r="D646" t="n">
        <v>0</v>
      </c>
      <c r="E646" t="n">
        <v>2</v>
      </c>
      <c r="F646" t="n">
        <v>1</v>
      </c>
      <c r="G646" t="n">
        <v>5850.635883290788</v>
      </c>
      <c r="H646" t="n">
        <v>8.439015410352212</v>
      </c>
      <c r="I646">
        <f>IF(H646=0, 0, G646/H646)</f>
        <v/>
      </c>
      <c r="J646">
        <f>RANK(I646, I$2:I$1111, 0)</f>
        <v/>
      </c>
      <c r="K646">
        <f>SUM(C646)</f>
        <v/>
      </c>
      <c r="L646">
        <f>SUM(K646,D646)</f>
        <v/>
      </c>
      <c r="M646">
        <f>SUM(L646,E646,F646)</f>
        <v/>
      </c>
      <c r="N646">
        <f>IF(L646=0, -1, K646/L646)</f>
        <v/>
      </c>
      <c r="O646">
        <f>IF(M646=0, -1, K646/M646)</f>
        <v/>
      </c>
      <c r="P646">
        <f>IF(M646=0, -1, L646/M646)</f>
        <v/>
      </c>
    </row>
    <row r="647">
      <c r="A647" t="inlineStr">
        <is>
          <t>RC00494</t>
        </is>
      </c>
      <c r="B647" t="inlineStr">
        <is>
          <t>山东警察学院</t>
        </is>
      </c>
      <c r="C647" t="n">
        <v>0</v>
      </c>
      <c r="D647" t="n">
        <v>0</v>
      </c>
      <c r="E647" t="n">
        <v>1</v>
      </c>
      <c r="F647" t="n">
        <v>2</v>
      </c>
      <c r="G647" t="n">
        <v>5272.623813785438</v>
      </c>
      <c r="H647" t="n">
        <v>7.809541324653411</v>
      </c>
      <c r="I647">
        <f>IF(H647=0, 0, G647/H647)</f>
        <v/>
      </c>
      <c r="J647">
        <f>RANK(I647, I$2:I$1111, 0)</f>
        <v/>
      </c>
      <c r="K647">
        <f>SUM(C647)</f>
        <v/>
      </c>
      <c r="L647">
        <f>SUM(K647,D647)</f>
        <v/>
      </c>
      <c r="M647">
        <f>SUM(L647,E647,F647)</f>
        <v/>
      </c>
      <c r="N647">
        <f>IF(L647=0, -1, K647/L647)</f>
        <v/>
      </c>
      <c r="O647">
        <f>IF(M647=0, -1, K647/M647)</f>
        <v/>
      </c>
      <c r="P647">
        <f>IF(M647=0, -1, L647/M647)</f>
        <v/>
      </c>
    </row>
    <row r="648">
      <c r="A648" t="inlineStr">
        <is>
          <t>RC00656</t>
        </is>
      </c>
      <c r="B648" t="inlineStr">
        <is>
          <t>重庆警察学院</t>
        </is>
      </c>
      <c r="C648" t="n">
        <v>0</v>
      </c>
      <c r="D648" t="n">
        <v>0</v>
      </c>
      <c r="E648" t="n">
        <v>0</v>
      </c>
      <c r="F648" t="n">
        <v>3</v>
      </c>
      <c r="G648" t="n">
        <v>3534.924525993525</v>
      </c>
      <c r="H648" t="n">
        <v>7.454719949364002</v>
      </c>
      <c r="I648">
        <f>IF(H648=0, 0, G648/H648)</f>
        <v/>
      </c>
      <c r="J648">
        <f>RANK(I648, I$2:I$1111, 0)</f>
        <v/>
      </c>
      <c r="K648">
        <f>SUM(C648)</f>
        <v/>
      </c>
      <c r="L648">
        <f>SUM(K648,D648)</f>
        <v/>
      </c>
      <c r="M648">
        <f>SUM(L648,E648,F648)</f>
        <v/>
      </c>
      <c r="N648">
        <f>IF(L648=0, -1, K648/L648)</f>
        <v/>
      </c>
      <c r="O648">
        <f>IF(M648=0, -1, K648/M648)</f>
        <v/>
      </c>
      <c r="P648">
        <f>IF(M648=0, -1, L648/M648)</f>
        <v/>
      </c>
    </row>
    <row r="649">
      <c r="A649" t="inlineStr">
        <is>
          <t>RC00301</t>
        </is>
      </c>
      <c r="B649" t="inlineStr">
        <is>
          <t>吉林警察学院</t>
        </is>
      </c>
      <c r="C649" t="n">
        <v>0</v>
      </c>
      <c r="D649" t="n">
        <v>0</v>
      </c>
      <c r="E649" t="n">
        <v>1</v>
      </c>
      <c r="F649" t="n">
        <v>5</v>
      </c>
      <c r="G649" t="n">
        <v>10012.35998566563</v>
      </c>
      <c r="H649" t="n">
        <v>19.14288889411789</v>
      </c>
      <c r="I649">
        <f>IF(H649=0, 0, G649/H649)</f>
        <v/>
      </c>
      <c r="J649">
        <f>RANK(I649, I$2:I$1111, 0)</f>
        <v/>
      </c>
      <c r="K649">
        <f>SUM(C649)</f>
        <v/>
      </c>
      <c r="L649">
        <f>SUM(K649,D649)</f>
        <v/>
      </c>
      <c r="M649">
        <f>SUM(L649,E649,F649)</f>
        <v/>
      </c>
      <c r="N649">
        <f>IF(L649=0, -1, K649/L649)</f>
        <v/>
      </c>
      <c r="O649">
        <f>IF(M649=0, -1, K649/M649)</f>
        <v/>
      </c>
      <c r="P649">
        <f>IF(M649=0, -1, L649/M649)</f>
        <v/>
      </c>
    </row>
    <row r="650">
      <c r="A650" t="inlineStr">
        <is>
          <t>RC00559</t>
        </is>
      </c>
      <c r="B650" t="inlineStr">
        <is>
          <t>湖北警官学院</t>
        </is>
      </c>
      <c r="C650" t="n">
        <v>0</v>
      </c>
      <c r="D650" t="n">
        <v>0</v>
      </c>
      <c r="E650" t="n">
        <v>0</v>
      </c>
      <c r="F650" t="n">
        <v>3</v>
      </c>
      <c r="G650" t="n">
        <v>5185.60384461642</v>
      </c>
      <c r="H650" t="n">
        <v>8.151333337900432</v>
      </c>
      <c r="I650">
        <f>IF(H650=0, 0, G650/H650)</f>
        <v/>
      </c>
      <c r="J650">
        <f>RANK(I650, I$2:I$1111, 0)</f>
        <v/>
      </c>
      <c r="K650">
        <f>SUM(C650)</f>
        <v/>
      </c>
      <c r="L650">
        <f>SUM(K650,D650)</f>
        <v/>
      </c>
      <c r="M650">
        <f>SUM(L650,E650,F650)</f>
        <v/>
      </c>
      <c r="N650">
        <f>IF(L650=0, -1, K650/L650)</f>
        <v/>
      </c>
      <c r="O650">
        <f>IF(M650=0, -1, K650/M650)</f>
        <v/>
      </c>
      <c r="P650">
        <f>IF(M650=0, -1, L650/M650)</f>
        <v/>
      </c>
    </row>
    <row r="651">
      <c r="A651" t="inlineStr">
        <is>
          <t>RC00721</t>
        </is>
      </c>
      <c r="B651" t="inlineStr">
        <is>
          <t>云南警官学院</t>
        </is>
      </c>
      <c r="C651" t="n">
        <v>2</v>
      </c>
      <c r="D651" t="n">
        <v>0</v>
      </c>
      <c r="E651" t="n">
        <v>1</v>
      </c>
      <c r="F651" t="n">
        <v>3</v>
      </c>
      <c r="G651" t="n">
        <v>9820.549183533438</v>
      </c>
      <c r="H651" t="n">
        <v>17.8361050224495</v>
      </c>
      <c r="I651">
        <f>IF(H651=0, 0, G651/H651)</f>
        <v/>
      </c>
      <c r="J651">
        <f>RANK(I651, I$2:I$1111, 0)</f>
        <v/>
      </c>
      <c r="K651">
        <f>SUM(C651)</f>
        <v/>
      </c>
      <c r="L651">
        <f>SUM(K651,D651)</f>
        <v/>
      </c>
      <c r="M651">
        <f>SUM(L651,E651,F651)</f>
        <v/>
      </c>
      <c r="N651">
        <f>IF(L651=0, -1, K651/L651)</f>
        <v/>
      </c>
      <c r="O651">
        <f>IF(M651=0, -1, K651/M651)</f>
        <v/>
      </c>
      <c r="P651">
        <f>IF(M651=0, -1, L651/M651)</f>
        <v/>
      </c>
    </row>
    <row r="652">
      <c r="A652" t="inlineStr">
        <is>
          <t>RC00203</t>
        </is>
      </c>
      <c r="B652" t="inlineStr">
        <is>
          <t>中国人民警察大学</t>
        </is>
      </c>
      <c r="C652" t="n">
        <v>6</v>
      </c>
      <c r="D652" t="n">
        <v>0</v>
      </c>
      <c r="E652" t="n">
        <v>0</v>
      </c>
      <c r="F652" t="n">
        <v>3</v>
      </c>
      <c r="G652" t="n">
        <v>13779.26278067065</v>
      </c>
      <c r="H652" t="n">
        <v>20.1029752859375</v>
      </c>
      <c r="I652">
        <f>IF(H652=0, 0, G652/H652)</f>
        <v/>
      </c>
      <c r="J652">
        <f>RANK(I652, I$2:I$1111, 0)</f>
        <v/>
      </c>
      <c r="K652">
        <f>SUM(C652)</f>
        <v/>
      </c>
      <c r="L652">
        <f>SUM(K652,D652)</f>
        <v/>
      </c>
      <c r="M652">
        <f>SUM(L652,E652,F652)</f>
        <v/>
      </c>
      <c r="N652">
        <f>IF(L652=0, -1, K652/L652)</f>
        <v/>
      </c>
      <c r="O652">
        <f>IF(M652=0, -1, K652/M652)</f>
        <v/>
      </c>
      <c r="P652">
        <f>IF(M652=0, -1, L652/M652)</f>
        <v/>
      </c>
    </row>
    <row r="653">
      <c r="A653" t="inlineStr">
        <is>
          <t>RC01255</t>
        </is>
      </c>
      <c r="B653" t="inlineStr">
        <is>
          <t>贵州警察学院</t>
        </is>
      </c>
      <c r="C653" t="n">
        <v>0</v>
      </c>
      <c r="D653" t="n">
        <v>0</v>
      </c>
      <c r="E653" t="n">
        <v>0</v>
      </c>
      <c r="F653" t="n">
        <v>5</v>
      </c>
      <c r="G653" t="n">
        <v>4175.395931464831</v>
      </c>
      <c r="H653" t="n">
        <v>11.63030842060527</v>
      </c>
      <c r="I653">
        <f>IF(H653=0, 0, G653/H653)</f>
        <v/>
      </c>
      <c r="J653">
        <f>RANK(I653, I$2:I$1111, 0)</f>
        <v/>
      </c>
      <c r="K653">
        <f>SUM(C653)</f>
        <v/>
      </c>
      <c r="L653">
        <f>SUM(K653,D653)</f>
        <v/>
      </c>
      <c r="M653">
        <f>SUM(L653,E653,F653)</f>
        <v/>
      </c>
      <c r="N653">
        <f>IF(L653=0, -1, K653/L653)</f>
        <v/>
      </c>
      <c r="O653">
        <f>IF(M653=0, -1, K653/M653)</f>
        <v/>
      </c>
      <c r="P653">
        <f>IF(M653=0, -1, L653/M653)</f>
        <v/>
      </c>
    </row>
    <row r="654">
      <c r="A654" t="inlineStr">
        <is>
          <t>RC01244</t>
        </is>
      </c>
      <c r="B654" t="inlineStr">
        <is>
          <t>山西警察学院</t>
        </is>
      </c>
      <c r="C654" t="n">
        <v>0</v>
      </c>
      <c r="D654" t="n">
        <v>0</v>
      </c>
      <c r="E654" t="n">
        <v>1</v>
      </c>
      <c r="F654" t="n">
        <v>2</v>
      </c>
      <c r="G654" t="n">
        <v>4200.117668935241</v>
      </c>
      <c r="H654" t="n">
        <v>7.23417717974985</v>
      </c>
      <c r="I654">
        <f>IF(H654=0, 0, G654/H654)</f>
        <v/>
      </c>
      <c r="J654">
        <f>RANK(I654, I$2:I$1111, 0)</f>
        <v/>
      </c>
      <c r="K654">
        <f>SUM(C654)</f>
        <v/>
      </c>
      <c r="L654">
        <f>SUM(K654,D654)</f>
        <v/>
      </c>
      <c r="M654">
        <f>SUM(L654,E654,F654)</f>
        <v/>
      </c>
      <c r="N654">
        <f>IF(L654=0, -1, K654/L654)</f>
        <v/>
      </c>
      <c r="O654">
        <f>IF(M654=0, -1, K654/M654)</f>
        <v/>
      </c>
      <c r="P654">
        <f>IF(M654=0, -1, L654/M654)</f>
        <v/>
      </c>
    </row>
    <row r="655">
      <c r="A655" t="inlineStr">
        <is>
          <t>RC00459</t>
        </is>
      </c>
      <c r="B655" t="inlineStr">
        <is>
          <t>江西警察学院</t>
        </is>
      </c>
      <c r="C655" t="n">
        <v>0</v>
      </c>
      <c r="D655" t="n">
        <v>0</v>
      </c>
      <c r="E655" t="n">
        <v>1</v>
      </c>
      <c r="F655" t="n">
        <v>0</v>
      </c>
      <c r="G655" t="n">
        <v>1843.280039634122</v>
      </c>
      <c r="H655" t="n">
        <v>2.397895272798371</v>
      </c>
      <c r="I655">
        <f>IF(H655=0, 0, G655/H655)</f>
        <v/>
      </c>
      <c r="J655">
        <f>RANK(I655, I$2:I$1111, 0)</f>
        <v/>
      </c>
      <c r="K655">
        <f>SUM(C655)</f>
        <v/>
      </c>
      <c r="L655">
        <f>SUM(K655,D655)</f>
        <v/>
      </c>
      <c r="M655">
        <f>SUM(L655,E655,F655)</f>
        <v/>
      </c>
      <c r="N655">
        <f>IF(L655=0, -1, K655/L655)</f>
        <v/>
      </c>
      <c r="O655">
        <f>IF(M655=0, -1, K655/M655)</f>
        <v/>
      </c>
      <c r="P655">
        <f>IF(M655=0, -1, L655/M655)</f>
        <v/>
      </c>
    </row>
    <row r="656">
      <c r="A656" t="inlineStr">
        <is>
          <t>RC00162</t>
        </is>
      </c>
      <c r="B656" t="inlineStr">
        <is>
          <t>北京警察学院</t>
        </is>
      </c>
      <c r="C656" t="n">
        <v>0</v>
      </c>
      <c r="D656" t="n">
        <v>0</v>
      </c>
      <c r="E656" t="n">
        <v>1</v>
      </c>
      <c r="F656" t="n">
        <v>2</v>
      </c>
      <c r="G656" t="n">
        <v>4874.393585911474</v>
      </c>
      <c r="H656" t="n">
        <v>6.982862751468943</v>
      </c>
      <c r="I656">
        <f>IF(H656=0, 0, G656/H656)</f>
        <v/>
      </c>
      <c r="J656">
        <f>RANK(I656, I$2:I$1111, 0)</f>
        <v/>
      </c>
      <c r="K656">
        <f>SUM(C656)</f>
        <v/>
      </c>
      <c r="L656">
        <f>SUM(K656,D656)</f>
        <v/>
      </c>
      <c r="M656">
        <f>SUM(L656,E656,F656)</f>
        <v/>
      </c>
      <c r="N656">
        <f>IF(L656=0, -1, K656/L656)</f>
        <v/>
      </c>
      <c r="O656">
        <f>IF(M656=0, -1, K656/M656)</f>
        <v/>
      </c>
      <c r="P656">
        <f>IF(M656=0, -1, L656/M656)</f>
        <v/>
      </c>
    </row>
    <row r="657">
      <c r="A657" t="inlineStr">
        <is>
          <t>RC01245</t>
        </is>
      </c>
      <c r="B657" t="inlineStr">
        <is>
          <t>上海公安学院</t>
        </is>
      </c>
      <c r="C657" t="n">
        <v>0</v>
      </c>
      <c r="D657" t="n">
        <v>0</v>
      </c>
      <c r="E657" t="n">
        <v>0</v>
      </c>
      <c r="F657" t="n">
        <v>1</v>
      </c>
      <c r="G657" t="n">
        <v>1373.237885409158</v>
      </c>
      <c r="H657" t="n">
        <v>2.484906649788</v>
      </c>
      <c r="I657">
        <f>IF(H657=0, 0, G657/H657)</f>
        <v/>
      </c>
      <c r="J657">
        <f>RANK(I657, I$2:I$1111, 0)</f>
        <v/>
      </c>
      <c r="K657">
        <f>SUM(C657)</f>
        <v/>
      </c>
      <c r="L657">
        <f>SUM(K657,D657)</f>
        <v/>
      </c>
      <c r="M657">
        <f>SUM(L657,E657,F657)</f>
        <v/>
      </c>
      <c r="N657">
        <f>IF(L657=0, -1, K657/L657)</f>
        <v/>
      </c>
      <c r="O657">
        <f>IF(M657=0, -1, K657/M657)</f>
        <v/>
      </c>
      <c r="P657">
        <f>IF(M657=0, -1, L657/M657)</f>
        <v/>
      </c>
    </row>
    <row r="658">
      <c r="A658" t="inlineStr">
        <is>
          <t>RC00200</t>
        </is>
      </c>
      <c r="B658" t="inlineStr">
        <is>
          <t>河北科技师范学院</t>
        </is>
      </c>
      <c r="C658" t="n">
        <v>0</v>
      </c>
      <c r="D658" t="n">
        <v>0</v>
      </c>
      <c r="E658" t="n">
        <v>6</v>
      </c>
      <c r="F658" t="n">
        <v>17</v>
      </c>
      <c r="G658" t="n">
        <v>36126.09501109808</v>
      </c>
      <c r="H658" t="n">
        <v>107.576739070965</v>
      </c>
      <c r="I658">
        <f>IF(H658=0, 0, G658/H658)</f>
        <v/>
      </c>
      <c r="J658">
        <f>RANK(I658, I$2:I$1111, 0)</f>
        <v/>
      </c>
      <c r="K658">
        <f>SUM(C658)</f>
        <v/>
      </c>
      <c r="L658">
        <f>SUM(K658,D658)</f>
        <v/>
      </c>
      <c r="M658">
        <f>SUM(L658,E658,F658)</f>
        <v/>
      </c>
      <c r="N658">
        <f>IF(L658=0, -1, K658/L658)</f>
        <v/>
      </c>
      <c r="O658">
        <f>IF(M658=0, -1, K658/M658)</f>
        <v/>
      </c>
      <c r="P658">
        <f>IF(M658=0, -1, L658/M658)</f>
        <v/>
      </c>
    </row>
    <row r="659">
      <c r="A659" t="inlineStr">
        <is>
          <t>RC00192</t>
        </is>
      </c>
      <c r="B659" t="inlineStr">
        <is>
          <t>唐山师范学院</t>
        </is>
      </c>
      <c r="C659" t="n">
        <v>0</v>
      </c>
      <c r="D659" t="n">
        <v>0</v>
      </c>
      <c r="E659" t="n">
        <v>1</v>
      </c>
      <c r="F659" t="n">
        <v>11</v>
      </c>
      <c r="G659" t="n">
        <v>19519.72045200539</v>
      </c>
      <c r="H659" t="n">
        <v>59.24595328047191</v>
      </c>
      <c r="I659">
        <f>IF(H659=0, 0, G659/H659)</f>
        <v/>
      </c>
      <c r="J659">
        <f>RANK(I659, I$2:I$1111, 0)</f>
        <v/>
      </c>
      <c r="K659">
        <f>SUM(C659)</f>
        <v/>
      </c>
      <c r="L659">
        <f>SUM(K659,D659)</f>
        <v/>
      </c>
      <c r="M659">
        <f>SUM(L659,E659,F659)</f>
        <v/>
      </c>
      <c r="N659">
        <f>IF(L659=0, -1, K659/L659)</f>
        <v/>
      </c>
      <c r="O659">
        <f>IF(M659=0, -1, K659/M659)</f>
        <v/>
      </c>
      <c r="P659">
        <f>IF(M659=0, -1, L659/M659)</f>
        <v/>
      </c>
    </row>
    <row r="660">
      <c r="A660" t="inlineStr">
        <is>
          <t>RC00776</t>
        </is>
      </c>
      <c r="B660" t="inlineStr">
        <is>
          <t>宁夏师范大学</t>
        </is>
      </c>
      <c r="C660" t="n">
        <v>0</v>
      </c>
      <c r="D660" t="n">
        <v>0</v>
      </c>
      <c r="E660" t="n">
        <v>4</v>
      </c>
      <c r="F660" t="n">
        <v>20</v>
      </c>
      <c r="G660" t="n">
        <v>44577.42688533098</v>
      </c>
      <c r="H660" t="n">
        <v>123.9236549845794</v>
      </c>
      <c r="I660">
        <f>IF(H660=0, 0, G660/H660)</f>
        <v/>
      </c>
      <c r="J660">
        <f>RANK(I660, I$2:I$1111, 0)</f>
        <v/>
      </c>
      <c r="K660">
        <f>SUM(C660)</f>
        <v/>
      </c>
      <c r="L660">
        <f>SUM(K660,D660)</f>
        <v/>
      </c>
      <c r="M660">
        <f>SUM(L660,E660,F660)</f>
        <v/>
      </c>
      <c r="N660">
        <f>IF(L660=0, -1, K660/L660)</f>
        <v/>
      </c>
      <c r="O660">
        <f>IF(M660=0, -1, K660/M660)</f>
        <v/>
      </c>
      <c r="P660">
        <f>IF(M660=0, -1, L660/M660)</f>
        <v/>
      </c>
    </row>
    <row r="661">
      <c r="A661" t="inlineStr">
        <is>
          <t>RC01254</t>
        </is>
      </c>
      <c r="B661" t="inlineStr">
        <is>
          <t>琼台师范学院</t>
        </is>
      </c>
      <c r="C661" t="n">
        <v>0</v>
      </c>
      <c r="D661" t="n">
        <v>0</v>
      </c>
      <c r="E661" t="n">
        <v>1</v>
      </c>
      <c r="F661" t="n">
        <v>6</v>
      </c>
      <c r="G661" t="n">
        <v>11742.4501133517</v>
      </c>
      <c r="H661" t="n">
        <v>33.60641245806528</v>
      </c>
      <c r="I661">
        <f>IF(H661=0, 0, G661/H661)</f>
        <v/>
      </c>
      <c r="J661">
        <f>RANK(I661, I$2:I$1111, 0)</f>
        <v/>
      </c>
      <c r="K661">
        <f>SUM(C661)</f>
        <v/>
      </c>
      <c r="L661">
        <f>SUM(K661,D661)</f>
        <v/>
      </c>
      <c r="M661">
        <f>SUM(L661,E661,F661)</f>
        <v/>
      </c>
      <c r="N661">
        <f>IF(L661=0, -1, K661/L661)</f>
        <v/>
      </c>
      <c r="O661">
        <f>IF(M661=0, -1, K661/M661)</f>
        <v/>
      </c>
      <c r="P661">
        <f>IF(M661=0, -1, L661/M661)</f>
        <v/>
      </c>
    </row>
    <row r="662">
      <c r="A662" t="inlineStr">
        <is>
          <t>RC01226</t>
        </is>
      </c>
      <c r="B662" t="inlineStr">
        <is>
          <t>西安科技大学高新学院</t>
        </is>
      </c>
      <c r="C662" t="n">
        <v>0</v>
      </c>
      <c r="D662" t="n">
        <v>0</v>
      </c>
      <c r="E662" t="n">
        <v>1</v>
      </c>
      <c r="F662" t="n">
        <v>1</v>
      </c>
      <c r="G662" t="n">
        <v>3491.727226841817</v>
      </c>
      <c r="H662" t="n">
        <v>6.936342735834049</v>
      </c>
      <c r="I662">
        <f>IF(H662=0, 0, G662/H662)</f>
        <v/>
      </c>
      <c r="J662">
        <f>RANK(I662, I$2:I$1111, 0)</f>
        <v/>
      </c>
      <c r="K662">
        <f>SUM(C662)</f>
        <v/>
      </c>
      <c r="L662">
        <f>SUM(K662,D662)</f>
        <v/>
      </c>
      <c r="M662">
        <f>SUM(L662,E662,F662)</f>
        <v/>
      </c>
      <c r="N662">
        <f>IF(L662=0, -1, K662/L662)</f>
        <v/>
      </c>
      <c r="O662">
        <f>IF(M662=0, -1, K662/M662)</f>
        <v/>
      </c>
      <c r="P662">
        <f>IF(M662=0, -1, L662/M662)</f>
        <v/>
      </c>
    </row>
    <row r="663">
      <c r="A663" t="inlineStr">
        <is>
          <t>RC00720</t>
        </is>
      </c>
      <c r="B663" t="inlineStr">
        <is>
          <t>楚雄师范学院</t>
        </is>
      </c>
      <c r="C663" t="n">
        <v>0</v>
      </c>
      <c r="D663" t="n">
        <v>0</v>
      </c>
      <c r="E663" t="n">
        <v>0</v>
      </c>
      <c r="F663" t="n">
        <v>7</v>
      </c>
      <c r="G663" t="n">
        <v>11781.90033432066</v>
      </c>
      <c r="H663" t="n">
        <v>33.72656579847373</v>
      </c>
      <c r="I663">
        <f>IF(H663=0, 0, G663/H663)</f>
        <v/>
      </c>
      <c r="J663">
        <f>RANK(I663, I$2:I$1111, 0)</f>
        <v/>
      </c>
      <c r="K663">
        <f>SUM(C663)</f>
        <v/>
      </c>
      <c r="L663">
        <f>SUM(K663,D663)</f>
        <v/>
      </c>
      <c r="M663">
        <f>SUM(L663,E663,F663)</f>
        <v/>
      </c>
      <c r="N663">
        <f>IF(L663=0, -1, K663/L663)</f>
        <v/>
      </c>
      <c r="O663">
        <f>IF(M663=0, -1, K663/M663)</f>
        <v/>
      </c>
      <c r="P663">
        <f>IF(M663=0, -1, L663/M663)</f>
        <v/>
      </c>
    </row>
    <row r="664">
      <c r="A664" t="inlineStr">
        <is>
          <t>RC00294</t>
        </is>
      </c>
      <c r="B664" t="inlineStr">
        <is>
          <t>白城师范学院</t>
        </is>
      </c>
      <c r="C664" t="n">
        <v>0</v>
      </c>
      <c r="D664" t="n">
        <v>0</v>
      </c>
      <c r="E664" t="n">
        <v>1</v>
      </c>
      <c r="F664" t="n">
        <v>4</v>
      </c>
      <c r="G664" t="n">
        <v>7220.099226194508</v>
      </c>
      <c r="H664" t="n">
        <v>22.88184453918496</v>
      </c>
      <c r="I664">
        <f>IF(H664=0, 0, G664/H664)</f>
        <v/>
      </c>
      <c r="J664">
        <f>RANK(I664, I$2:I$1111, 0)</f>
        <v/>
      </c>
      <c r="K664">
        <f>SUM(C664)</f>
        <v/>
      </c>
      <c r="L664">
        <f>SUM(K664,D664)</f>
        <v/>
      </c>
      <c r="M664">
        <f>SUM(L664,E664,F664)</f>
        <v/>
      </c>
      <c r="N664">
        <f>IF(L664=0, -1, K664/L664)</f>
        <v/>
      </c>
      <c r="O664">
        <f>IF(M664=0, -1, K664/M664)</f>
        <v/>
      </c>
      <c r="P664">
        <f>IF(M664=0, -1, L664/M664)</f>
        <v/>
      </c>
    </row>
    <row r="665">
      <c r="A665" t="inlineStr">
        <is>
          <t>RC00149</t>
        </is>
      </c>
      <c r="B665" t="inlineStr">
        <is>
          <t>中央美术学院</t>
        </is>
      </c>
      <c r="C665" t="n">
        <v>13</v>
      </c>
      <c r="D665" t="n">
        <v>9</v>
      </c>
      <c r="E665" t="n">
        <v>2</v>
      </c>
      <c r="F665" t="n">
        <v>1</v>
      </c>
      <c r="G665" t="n">
        <v>83538.24277981897</v>
      </c>
      <c r="H665" t="n">
        <v>100.4060926123034</v>
      </c>
      <c r="I665">
        <f>IF(H665=0, 0, G665/H665)</f>
        <v/>
      </c>
      <c r="J665">
        <f>RANK(I665, I$2:I$1111, 0)</f>
        <v/>
      </c>
      <c r="K665">
        <f>SUM(C665)</f>
        <v/>
      </c>
      <c r="L665">
        <f>SUM(K665,D665)</f>
        <v/>
      </c>
      <c r="M665">
        <f>SUM(L665,E665,F665)</f>
        <v/>
      </c>
      <c r="N665">
        <f>IF(L665=0, -1, K665/L665)</f>
        <v/>
      </c>
      <c r="O665">
        <f>IF(M665=0, -1, K665/M665)</f>
        <v/>
      </c>
      <c r="P665">
        <f>IF(M665=0, -1, L665/M665)</f>
        <v/>
      </c>
    </row>
    <row r="666">
      <c r="A666" t="inlineStr">
        <is>
          <t>RC00652</t>
        </is>
      </c>
      <c r="B666" t="inlineStr">
        <is>
          <t>四川美术学院</t>
        </is>
      </c>
      <c r="C666" t="n">
        <v>3</v>
      </c>
      <c r="D666" t="n">
        <v>13</v>
      </c>
      <c r="E666" t="n">
        <v>4</v>
      </c>
      <c r="F666" t="n">
        <v>4</v>
      </c>
      <c r="G666" t="n">
        <v>71253.5146344566</v>
      </c>
      <c r="H666" t="n">
        <v>98.50772340801707</v>
      </c>
      <c r="I666">
        <f>IF(H666=0, 0, G666/H666)</f>
        <v/>
      </c>
      <c r="J666">
        <f>RANK(I666, I$2:I$1111, 0)</f>
        <v/>
      </c>
      <c r="K666">
        <f>SUM(C666)</f>
        <v/>
      </c>
      <c r="L666">
        <f>SUM(K666,D666)</f>
        <v/>
      </c>
      <c r="M666">
        <f>SUM(L666,E666,F666)</f>
        <v/>
      </c>
      <c r="N666">
        <f>IF(L666=0, -1, K666/L666)</f>
        <v/>
      </c>
      <c r="O666">
        <f>IF(M666=0, -1, K666/M666)</f>
        <v/>
      </c>
      <c r="P666">
        <f>IF(M666=0, -1, L666/M666)</f>
        <v/>
      </c>
    </row>
    <row r="667">
      <c r="A667" t="inlineStr">
        <is>
          <t>RC00604</t>
        </is>
      </c>
      <c r="B667" t="inlineStr">
        <is>
          <t>广州美术学院</t>
        </is>
      </c>
      <c r="C667" t="n">
        <v>6</v>
      </c>
      <c r="D667" t="n">
        <v>14</v>
      </c>
      <c r="E667" t="n">
        <v>7</v>
      </c>
      <c r="F667" t="n">
        <v>2</v>
      </c>
      <c r="G667" t="n">
        <v>76512.4442419041</v>
      </c>
      <c r="H667" t="n">
        <v>109.3465196982631</v>
      </c>
      <c r="I667">
        <f>IF(H667=0, 0, G667/H667)</f>
        <v/>
      </c>
      <c r="J667">
        <f>RANK(I667, I$2:I$1111, 0)</f>
        <v/>
      </c>
      <c r="K667">
        <f>SUM(C667)</f>
        <v/>
      </c>
      <c r="L667">
        <f>SUM(K667,D667)</f>
        <v/>
      </c>
      <c r="M667">
        <f>SUM(L667,E667,F667)</f>
        <v/>
      </c>
      <c r="N667">
        <f>IF(L667=0, -1, K667/L667)</f>
        <v/>
      </c>
      <c r="O667">
        <f>IF(M667=0, -1, K667/M667)</f>
        <v/>
      </c>
      <c r="P667">
        <f>IF(M667=0, -1, L667/M667)</f>
        <v/>
      </c>
    </row>
    <row r="668">
      <c r="A668" t="inlineStr">
        <is>
          <t>RC00550</t>
        </is>
      </c>
      <c r="B668" t="inlineStr">
        <is>
          <t>湖北美术学院</t>
        </is>
      </c>
      <c r="C668" t="n">
        <v>0</v>
      </c>
      <c r="D668" t="n">
        <v>6</v>
      </c>
      <c r="E668" t="n">
        <v>6</v>
      </c>
      <c r="F668" t="n">
        <v>8</v>
      </c>
      <c r="G668" t="n">
        <v>47656.38785165285</v>
      </c>
      <c r="H668" t="n">
        <v>85.56329123910542</v>
      </c>
      <c r="I668">
        <f>IF(H668=0, 0, G668/H668)</f>
        <v/>
      </c>
      <c r="J668">
        <f>RANK(I668, I$2:I$1111, 0)</f>
        <v/>
      </c>
      <c r="K668">
        <f>SUM(C668)</f>
        <v/>
      </c>
      <c r="L668">
        <f>SUM(K668,D668)</f>
        <v/>
      </c>
      <c r="M668">
        <f>SUM(L668,E668,F668)</f>
        <v/>
      </c>
      <c r="N668">
        <f>IF(L668=0, -1, K668/L668)</f>
        <v/>
      </c>
      <c r="O668">
        <f>IF(M668=0, -1, K668/M668)</f>
        <v/>
      </c>
      <c r="P668">
        <f>IF(M668=0, -1, L668/M668)</f>
        <v/>
      </c>
    </row>
    <row r="669">
      <c r="A669" t="inlineStr">
        <is>
          <t>RC01253</t>
        </is>
      </c>
      <c r="B669" t="inlineStr">
        <is>
          <t>汉江师范学院</t>
        </is>
      </c>
      <c r="C669" t="n">
        <v>0</v>
      </c>
      <c r="D669" t="n">
        <v>0</v>
      </c>
      <c r="E669" t="n">
        <v>1</v>
      </c>
      <c r="F669" t="n">
        <v>7</v>
      </c>
      <c r="G669" t="n">
        <v>13141.80458287298</v>
      </c>
      <c r="H669" t="n">
        <v>40.54382836307086</v>
      </c>
      <c r="I669">
        <f>IF(H669=0, 0, G669/H669)</f>
        <v/>
      </c>
      <c r="J669">
        <f>RANK(I669, I$2:I$1111, 0)</f>
        <v/>
      </c>
      <c r="K669">
        <f>SUM(C669)</f>
        <v/>
      </c>
      <c r="L669">
        <f>SUM(K669,D669)</f>
        <v/>
      </c>
      <c r="M669">
        <f>SUM(L669,E669,F669)</f>
        <v/>
      </c>
      <c r="N669">
        <f>IF(L669=0, -1, K669/L669)</f>
        <v/>
      </c>
      <c r="O669">
        <f>IF(M669=0, -1, K669/M669)</f>
        <v/>
      </c>
      <c r="P669">
        <f>IF(M669=0, -1, L669/M669)</f>
        <v/>
      </c>
    </row>
    <row r="670">
      <c r="A670" t="inlineStr">
        <is>
          <t>RC01182</t>
        </is>
      </c>
      <c r="B670" t="inlineStr">
        <is>
          <t>广西民族大学相思湖学院</t>
        </is>
      </c>
      <c r="C670" t="n">
        <v>0</v>
      </c>
      <c r="D670" t="n">
        <v>0</v>
      </c>
      <c r="E670" t="n">
        <v>1</v>
      </c>
      <c r="F670" t="n">
        <v>4</v>
      </c>
      <c r="G670" t="n">
        <v>6048.349200789399</v>
      </c>
      <c r="H670" t="n">
        <v>20.75606598229677</v>
      </c>
      <c r="I670">
        <f>IF(H670=0, 0, G670/H670)</f>
        <v/>
      </c>
      <c r="J670">
        <f>RANK(I670, I$2:I$1111, 0)</f>
        <v/>
      </c>
      <c r="K670">
        <f>SUM(C670)</f>
        <v/>
      </c>
      <c r="L670">
        <f>SUM(K670,D670)</f>
        <v/>
      </c>
      <c r="M670">
        <f>SUM(L670,E670,F670)</f>
        <v/>
      </c>
      <c r="N670">
        <f>IF(L670=0, -1, K670/L670)</f>
        <v/>
      </c>
      <c r="O670">
        <f>IF(M670=0, -1, K670/M670)</f>
        <v/>
      </c>
      <c r="P670">
        <f>IF(M670=0, -1, L670/M670)</f>
        <v/>
      </c>
    </row>
    <row r="671">
      <c r="A671" t="inlineStr">
        <is>
          <t>RC00211</t>
        </is>
      </c>
      <c r="B671" t="inlineStr">
        <is>
          <t>张家口学院</t>
        </is>
      </c>
      <c r="C671" t="n">
        <v>0</v>
      </c>
      <c r="D671" t="n">
        <v>0</v>
      </c>
      <c r="E671" t="n">
        <v>1</v>
      </c>
      <c r="F671" t="n">
        <v>10</v>
      </c>
      <c r="G671" t="n">
        <v>15898.94949073453</v>
      </c>
      <c r="H671" t="n">
        <v>51.66283361188578</v>
      </c>
      <c r="I671">
        <f>IF(H671=0, 0, G671/H671)</f>
        <v/>
      </c>
      <c r="J671">
        <f>RANK(I671, I$2:I$1111, 0)</f>
        <v/>
      </c>
      <c r="K671">
        <f>SUM(C671)</f>
        <v/>
      </c>
      <c r="L671">
        <f>SUM(K671,D671)</f>
        <v/>
      </c>
      <c r="M671">
        <f>SUM(L671,E671,F671)</f>
        <v/>
      </c>
      <c r="N671">
        <f>IF(L671=0, -1, K671/L671)</f>
        <v/>
      </c>
      <c r="O671">
        <f>IF(M671=0, -1, K671/M671)</f>
        <v/>
      </c>
      <c r="P671">
        <f>IF(M671=0, -1, L671/M671)</f>
        <v/>
      </c>
    </row>
    <row r="672">
      <c r="A672" t="inlineStr">
        <is>
          <t>RC00455</t>
        </is>
      </c>
      <c r="B672" t="inlineStr">
        <is>
          <t>景德镇学院</t>
        </is>
      </c>
      <c r="C672" t="n">
        <v>0</v>
      </c>
      <c r="D672" t="n">
        <v>0</v>
      </c>
      <c r="E672" t="n">
        <v>3</v>
      </c>
      <c r="F672" t="n">
        <v>7</v>
      </c>
      <c r="G672" t="n">
        <v>15723.59216133909</v>
      </c>
      <c r="H672" t="n">
        <v>44.61535915457738</v>
      </c>
      <c r="I672">
        <f>IF(H672=0, 0, G672/H672)</f>
        <v/>
      </c>
      <c r="J672">
        <f>RANK(I672, I$2:I$1111, 0)</f>
        <v/>
      </c>
      <c r="K672">
        <f>SUM(C672)</f>
        <v/>
      </c>
      <c r="L672">
        <f>SUM(K672,D672)</f>
        <v/>
      </c>
      <c r="M672">
        <f>SUM(L672,E672,F672)</f>
        <v/>
      </c>
      <c r="N672">
        <f>IF(L672=0, -1, K672/L672)</f>
        <v/>
      </c>
      <c r="O672">
        <f>IF(M672=0, -1, K672/M672)</f>
        <v/>
      </c>
      <c r="P672">
        <f>IF(M672=0, -1, L672/M672)</f>
        <v/>
      </c>
    </row>
    <row r="673">
      <c r="A673" t="inlineStr">
        <is>
          <t>RC01200</t>
        </is>
      </c>
      <c r="B673" t="inlineStr">
        <is>
          <t>西南财经大学天府学院</t>
        </is>
      </c>
      <c r="C673" t="n">
        <v>0</v>
      </c>
      <c r="D673" t="n">
        <v>0</v>
      </c>
      <c r="E673" t="n">
        <v>1</v>
      </c>
      <c r="F673" t="n">
        <v>5</v>
      </c>
      <c r="G673" t="n">
        <v>7807.125589444564</v>
      </c>
      <c r="H673" t="n">
        <v>24.18704622271844</v>
      </c>
      <c r="I673">
        <f>IF(H673=0, 0, G673/H673)</f>
        <v/>
      </c>
      <c r="J673">
        <f>RANK(I673, I$2:I$1111, 0)</f>
        <v/>
      </c>
      <c r="K673">
        <f>SUM(C673)</f>
        <v/>
      </c>
      <c r="L673">
        <f>SUM(K673,D673)</f>
        <v/>
      </c>
      <c r="M673">
        <f>SUM(L673,E673,F673)</f>
        <v/>
      </c>
      <c r="N673">
        <f>IF(L673=0, -1, K673/L673)</f>
        <v/>
      </c>
      <c r="O673">
        <f>IF(M673=0, -1, K673/M673)</f>
        <v/>
      </c>
      <c r="P673">
        <f>IF(M673=0, -1, L673/M673)</f>
        <v/>
      </c>
    </row>
    <row r="674">
      <c r="A674" t="inlineStr">
        <is>
          <t>RC01132</t>
        </is>
      </c>
      <c r="B674" t="inlineStr">
        <is>
          <t>武汉文理学院</t>
        </is>
      </c>
      <c r="C674" t="n">
        <v>0</v>
      </c>
      <c r="D674" t="n">
        <v>0</v>
      </c>
      <c r="E674" t="n">
        <v>1</v>
      </c>
      <c r="F674" t="n">
        <v>0</v>
      </c>
      <c r="G674" t="n">
        <v>1330.307040408182</v>
      </c>
      <c r="H674" t="n">
        <v>3.401197381662155</v>
      </c>
      <c r="I674">
        <f>IF(H674=0, 0, G674/H674)</f>
        <v/>
      </c>
      <c r="J674">
        <f>RANK(I674, I$2:I$1111, 0)</f>
        <v/>
      </c>
      <c r="K674">
        <f>SUM(C674)</f>
        <v/>
      </c>
      <c r="L674">
        <f>SUM(K674,D674)</f>
        <v/>
      </c>
      <c r="M674">
        <f>SUM(L674,E674,F674)</f>
        <v/>
      </c>
      <c r="N674">
        <f>IF(L674=0, -1, K674/L674)</f>
        <v/>
      </c>
      <c r="O674">
        <f>IF(M674=0, -1, K674/M674)</f>
        <v/>
      </c>
      <c r="P674">
        <f>IF(M674=0, -1, L674/M674)</f>
        <v/>
      </c>
    </row>
    <row r="675">
      <c r="A675" t="inlineStr">
        <is>
          <t>RC00876</t>
        </is>
      </c>
      <c r="B675" t="inlineStr">
        <is>
          <t>仰恩大学</t>
        </is>
      </c>
      <c r="C675" t="n">
        <v>0</v>
      </c>
      <c r="D675" t="n">
        <v>0</v>
      </c>
      <c r="E675" t="n">
        <v>1</v>
      </c>
      <c r="F675" t="n">
        <v>0</v>
      </c>
      <c r="G675" t="n">
        <v>1316.592534836963</v>
      </c>
      <c r="H675" t="n">
        <v>3.401197381662155</v>
      </c>
      <c r="I675">
        <f>IF(H675=0, 0, G675/H675)</f>
        <v/>
      </c>
      <c r="J675">
        <f>RANK(I675, I$2:I$1111, 0)</f>
        <v/>
      </c>
      <c r="K675">
        <f>SUM(C675)</f>
        <v/>
      </c>
      <c r="L675">
        <f>SUM(K675,D675)</f>
        <v/>
      </c>
      <c r="M675">
        <f>SUM(L675,E675,F675)</f>
        <v/>
      </c>
      <c r="N675">
        <f>IF(L675=0, -1, K675/L675)</f>
        <v/>
      </c>
      <c r="O675">
        <f>IF(M675=0, -1, K675/M675)</f>
        <v/>
      </c>
      <c r="P675">
        <f>IF(M675=0, -1, L675/M675)</f>
        <v/>
      </c>
    </row>
    <row r="676">
      <c r="A676" t="inlineStr">
        <is>
          <t>RC00889</t>
        </is>
      </c>
      <c r="B676" t="inlineStr">
        <is>
          <t>潍坊科技学院</t>
        </is>
      </c>
      <c r="C676" t="n">
        <v>0</v>
      </c>
      <c r="D676" t="n">
        <v>0</v>
      </c>
      <c r="E676" t="n">
        <v>0</v>
      </c>
      <c r="F676" t="n">
        <v>5</v>
      </c>
      <c r="G676" t="n">
        <v>5872.187652367778</v>
      </c>
      <c r="H676" t="n">
        <v>23.07226899719697</v>
      </c>
      <c r="I676">
        <f>IF(H676=0, 0, G676/H676)</f>
        <v/>
      </c>
      <c r="J676">
        <f>RANK(I676, I$2:I$1111, 0)</f>
        <v/>
      </c>
      <c r="K676">
        <f>SUM(C676)</f>
        <v/>
      </c>
      <c r="L676">
        <f>SUM(K676,D676)</f>
        <v/>
      </c>
      <c r="M676">
        <f>SUM(L676,E676,F676)</f>
        <v/>
      </c>
      <c r="N676">
        <f>IF(L676=0, -1, K676/L676)</f>
        <v/>
      </c>
      <c r="O676">
        <f>IF(M676=0, -1, K676/M676)</f>
        <v/>
      </c>
      <c r="P676">
        <f>IF(M676=0, -1, L676/M676)</f>
        <v/>
      </c>
    </row>
    <row r="677">
      <c r="A677" t="inlineStr">
        <is>
          <t>RC00936</t>
        </is>
      </c>
      <c r="B677" t="inlineStr">
        <is>
          <t>四川传媒学院</t>
        </is>
      </c>
      <c r="C677" t="n">
        <v>0</v>
      </c>
      <c r="D677" t="n">
        <v>0</v>
      </c>
      <c r="E677" t="n">
        <v>6</v>
      </c>
      <c r="F677" t="n">
        <v>6</v>
      </c>
      <c r="G677" t="n">
        <v>21051.93323847223</v>
      </c>
      <c r="H677" t="n">
        <v>52.14345765526767</v>
      </c>
      <c r="I677">
        <f>IF(H677=0, 0, G677/H677)</f>
        <v/>
      </c>
      <c r="J677">
        <f>RANK(I677, I$2:I$1111, 0)</f>
        <v/>
      </c>
      <c r="K677">
        <f>SUM(C677)</f>
        <v/>
      </c>
      <c r="L677">
        <f>SUM(K677,D677)</f>
        <v/>
      </c>
      <c r="M677">
        <f>SUM(L677,E677,F677)</f>
        <v/>
      </c>
      <c r="N677">
        <f>IF(L677=0, -1, K677/L677)</f>
        <v/>
      </c>
      <c r="O677">
        <f>IF(M677=0, -1, K677/M677)</f>
        <v/>
      </c>
      <c r="P677">
        <f>IF(M677=0, -1, L677/M677)</f>
        <v/>
      </c>
    </row>
    <row r="678">
      <c r="A678" t="inlineStr">
        <is>
          <t>RC00948</t>
        </is>
      </c>
      <c r="B678" t="inlineStr">
        <is>
          <t>西安思源学院</t>
        </is>
      </c>
      <c r="C678" t="n">
        <v>0</v>
      </c>
      <c r="D678" t="n">
        <v>0</v>
      </c>
      <c r="E678" t="n">
        <v>0</v>
      </c>
      <c r="F678" t="n">
        <v>2</v>
      </c>
      <c r="G678" t="n">
        <v>2851.699053436745</v>
      </c>
      <c r="H678" t="n">
        <v>8.391629968440892</v>
      </c>
      <c r="I678">
        <f>IF(H678=0, 0, G678/H678)</f>
        <v/>
      </c>
      <c r="J678">
        <f>RANK(I678, I$2:I$1111, 0)</f>
        <v/>
      </c>
      <c r="K678">
        <f>SUM(C678)</f>
        <v/>
      </c>
      <c r="L678">
        <f>SUM(K678,D678)</f>
        <v/>
      </c>
      <c r="M678">
        <f>SUM(L678,E678,F678)</f>
        <v/>
      </c>
      <c r="N678">
        <f>IF(L678=0, -1, K678/L678)</f>
        <v/>
      </c>
      <c r="O678">
        <f>IF(M678=0, -1, K678/M678)</f>
        <v/>
      </c>
      <c r="P678">
        <f>IF(M678=0, -1, L678/M678)</f>
        <v/>
      </c>
    </row>
    <row r="679">
      <c r="A679" t="inlineStr">
        <is>
          <t>RC00940</t>
        </is>
      </c>
      <c r="B679" t="inlineStr">
        <is>
          <t>四川电影电视学院</t>
        </is>
      </c>
      <c r="C679" t="n">
        <v>0</v>
      </c>
      <c r="D679" t="n">
        <v>0</v>
      </c>
      <c r="E679" t="n">
        <v>4</v>
      </c>
      <c r="F679" t="n">
        <v>3</v>
      </c>
      <c r="G679" t="n">
        <v>11892.11594589934</v>
      </c>
      <c r="H679" t="n">
        <v>27.38945306310643</v>
      </c>
      <c r="I679">
        <f>IF(H679=0, 0, G679/H679)</f>
        <v/>
      </c>
      <c r="J679">
        <f>RANK(I679, I$2:I$1111, 0)</f>
        <v/>
      </c>
      <c r="K679">
        <f>SUM(C679)</f>
        <v/>
      </c>
      <c r="L679">
        <f>SUM(K679,D679)</f>
        <v/>
      </c>
      <c r="M679">
        <f>SUM(L679,E679,F679)</f>
        <v/>
      </c>
      <c r="N679">
        <f>IF(L679=0, -1, K679/L679)</f>
        <v/>
      </c>
      <c r="O679">
        <f>IF(M679=0, -1, K679/M679)</f>
        <v/>
      </c>
      <c r="P679">
        <f>IF(M679=0, -1, L679/M679)</f>
        <v/>
      </c>
    </row>
    <row r="680">
      <c r="A680" t="inlineStr">
        <is>
          <t>RC00939</t>
        </is>
      </c>
      <c r="B680" t="inlineStr">
        <is>
          <t>四川文化艺术学院</t>
        </is>
      </c>
      <c r="C680" t="n">
        <v>0</v>
      </c>
      <c r="D680" t="n">
        <v>0</v>
      </c>
      <c r="E680" t="n">
        <v>0</v>
      </c>
      <c r="F680" t="n">
        <v>3</v>
      </c>
      <c r="G680" t="n">
        <v>4011.011032647939</v>
      </c>
      <c r="H680" t="n">
        <v>14.48773027884122</v>
      </c>
      <c r="I680">
        <f>IF(H680=0, 0, G680/H680)</f>
        <v/>
      </c>
      <c r="J680">
        <f>RANK(I680, I$2:I$1111, 0)</f>
        <v/>
      </c>
      <c r="K680">
        <f>SUM(C680)</f>
        <v/>
      </c>
      <c r="L680">
        <f>SUM(K680,D680)</f>
        <v/>
      </c>
      <c r="M680">
        <f>SUM(L680,E680,F680)</f>
        <v/>
      </c>
      <c r="N680">
        <f>IF(L680=0, -1, K680/L680)</f>
        <v/>
      </c>
      <c r="O680">
        <f>IF(M680=0, -1, K680/M680)</f>
        <v/>
      </c>
      <c r="P680">
        <f>IF(M680=0, -1, L680/M680)</f>
        <v/>
      </c>
    </row>
    <row r="681">
      <c r="A681" t="inlineStr">
        <is>
          <t>RC01214</t>
        </is>
      </c>
      <c r="B681" t="inlineStr">
        <is>
          <t>昆明传媒学院</t>
        </is>
      </c>
      <c r="C681" t="n">
        <v>0</v>
      </c>
      <c r="D681" t="n">
        <v>0</v>
      </c>
      <c r="E681" t="n">
        <v>3</v>
      </c>
      <c r="F681" t="n">
        <v>5</v>
      </c>
      <c r="G681" t="n">
        <v>12846.55885078627</v>
      </c>
      <c r="H681" t="n">
        <v>35.37325470665436</v>
      </c>
      <c r="I681">
        <f>IF(H681=0, 0, G681/H681)</f>
        <v/>
      </c>
      <c r="J681">
        <f>RANK(I681, I$2:I$1111, 0)</f>
        <v/>
      </c>
      <c r="K681">
        <f>SUM(C681)</f>
        <v/>
      </c>
      <c r="L681">
        <f>SUM(K681,D681)</f>
        <v/>
      </c>
      <c r="M681">
        <f>SUM(L681,E681,F681)</f>
        <v/>
      </c>
      <c r="N681">
        <f>IF(L681=0, -1, K681/L681)</f>
        <v/>
      </c>
      <c r="O681">
        <f>IF(M681=0, -1, K681/M681)</f>
        <v/>
      </c>
      <c r="P681">
        <f>IF(M681=0, -1, L681/M681)</f>
        <v/>
      </c>
    </row>
    <row r="682">
      <c r="A682" t="inlineStr">
        <is>
          <t>RC01187</t>
        </is>
      </c>
      <c r="B682" t="inlineStr">
        <is>
          <t>重庆对外经贸学院</t>
        </is>
      </c>
      <c r="C682" t="n">
        <v>0</v>
      </c>
      <c r="D682" t="n">
        <v>0</v>
      </c>
      <c r="E682" t="n">
        <v>0</v>
      </c>
      <c r="F682" t="n">
        <v>3</v>
      </c>
      <c r="G682" t="n">
        <v>3518.638883276767</v>
      </c>
      <c r="H682" t="n">
        <v>11.94308318566877</v>
      </c>
      <c r="I682">
        <f>IF(H682=0, 0, G682/H682)</f>
        <v/>
      </c>
      <c r="J682">
        <f>RANK(I682, I$2:I$1111, 0)</f>
        <v/>
      </c>
      <c r="K682">
        <f>SUM(C682)</f>
        <v/>
      </c>
      <c r="L682">
        <f>SUM(K682,D682)</f>
        <v/>
      </c>
      <c r="M682">
        <f>SUM(L682,E682,F682)</f>
        <v/>
      </c>
      <c r="N682">
        <f>IF(L682=0, -1, K682/L682)</f>
        <v/>
      </c>
      <c r="O682">
        <f>IF(M682=0, -1, K682/M682)</f>
        <v/>
      </c>
      <c r="P682">
        <f>IF(M682=0, -1, L682/M682)</f>
        <v/>
      </c>
    </row>
    <row r="683">
      <c r="A683" t="inlineStr">
        <is>
          <t>RC01022</t>
        </is>
      </c>
      <c r="B683" t="inlineStr">
        <is>
          <t>上海师范大学天华学院</t>
        </is>
      </c>
      <c r="C683" t="n">
        <v>0</v>
      </c>
      <c r="D683" t="n">
        <v>0</v>
      </c>
      <c r="E683" t="n">
        <v>1</v>
      </c>
      <c r="F683" t="n">
        <v>4</v>
      </c>
      <c r="G683" t="n">
        <v>7200.82006637673</v>
      </c>
      <c r="H683" t="n">
        <v>23.15283248916124</v>
      </c>
      <c r="I683">
        <f>IF(H683=0, 0, G683/H683)</f>
        <v/>
      </c>
      <c r="J683">
        <f>RANK(I683, I$2:I$1111, 0)</f>
        <v/>
      </c>
      <c r="K683">
        <f>SUM(C683)</f>
        <v/>
      </c>
      <c r="L683">
        <f>SUM(K683,D683)</f>
        <v/>
      </c>
      <c r="M683">
        <f>SUM(L683,E683,F683)</f>
        <v/>
      </c>
      <c r="N683">
        <f>IF(L683=0, -1, K683/L683)</f>
        <v/>
      </c>
      <c r="O683">
        <f>IF(M683=0, -1, K683/M683)</f>
        <v/>
      </c>
      <c r="P683">
        <f>IF(M683=0, -1, L683/M683)</f>
        <v/>
      </c>
    </row>
    <row r="684">
      <c r="A684" t="inlineStr">
        <is>
          <t>RC00824</t>
        </is>
      </c>
      <c r="B684" t="inlineStr">
        <is>
          <t>河北外国语学院</t>
        </is>
      </c>
      <c r="C684" t="n">
        <v>0</v>
      </c>
      <c r="D684" t="n">
        <v>0</v>
      </c>
      <c r="E684" t="n">
        <v>0</v>
      </c>
      <c r="F684" t="n">
        <v>1</v>
      </c>
      <c r="G684" t="n">
        <v>932.5863788428491</v>
      </c>
      <c r="H684" t="n">
        <v>3.401197381662155</v>
      </c>
      <c r="I684">
        <f>IF(H684=0, 0, G684/H684)</f>
        <v/>
      </c>
      <c r="J684">
        <f>RANK(I684, I$2:I$1111, 0)</f>
        <v/>
      </c>
      <c r="K684">
        <f>SUM(C684)</f>
        <v/>
      </c>
      <c r="L684">
        <f>SUM(K684,D684)</f>
        <v/>
      </c>
      <c r="M684">
        <f>SUM(L684,E684,F684)</f>
        <v/>
      </c>
      <c r="N684">
        <f>IF(L684=0, -1, K684/L684)</f>
        <v/>
      </c>
      <c r="O684">
        <f>IF(M684=0, -1, K684/M684)</f>
        <v/>
      </c>
      <c r="P684">
        <f>IF(M684=0, -1, L684/M684)</f>
        <v/>
      </c>
    </row>
    <row r="685">
      <c r="A685" t="inlineStr">
        <is>
          <t>RC00878</t>
        </is>
      </c>
      <c r="B685" t="inlineStr">
        <is>
          <t>福州外语外贸学院</t>
        </is>
      </c>
      <c r="C685" t="n">
        <v>0</v>
      </c>
      <c r="D685" t="n">
        <v>0</v>
      </c>
      <c r="E685" t="n">
        <v>1</v>
      </c>
      <c r="F685" t="n">
        <v>2</v>
      </c>
      <c r="G685" t="n">
        <v>4459.969682377627</v>
      </c>
      <c r="H685" t="n">
        <v>13.34082398081416</v>
      </c>
      <c r="I685">
        <f>IF(H685=0, 0, G685/H685)</f>
        <v/>
      </c>
      <c r="J685">
        <f>RANK(I685, I$2:I$1111, 0)</f>
        <v/>
      </c>
      <c r="K685">
        <f>SUM(C685)</f>
        <v/>
      </c>
      <c r="L685">
        <f>SUM(K685,D685)</f>
        <v/>
      </c>
      <c r="M685">
        <f>SUM(L685,E685,F685)</f>
        <v/>
      </c>
      <c r="N685">
        <f>IF(L685=0, -1, K685/L685)</f>
        <v/>
      </c>
      <c r="O685">
        <f>IF(M685=0, -1, K685/M685)</f>
        <v/>
      </c>
      <c r="P685">
        <f>IF(M685=0, -1, L685/M685)</f>
        <v/>
      </c>
    </row>
    <row r="686">
      <c r="A686" t="inlineStr">
        <is>
          <t>RC01004</t>
        </is>
      </c>
      <c r="B686" t="inlineStr">
        <is>
          <t>大连工业大学艺术与信息工程学院</t>
        </is>
      </c>
      <c r="C686" t="n">
        <v>0</v>
      </c>
      <c r="D686" t="n">
        <v>0</v>
      </c>
      <c r="E686" t="n">
        <v>0</v>
      </c>
      <c r="F686" t="n">
        <v>1</v>
      </c>
      <c r="G686" t="n">
        <v>781.726817559447</v>
      </c>
      <c r="H686" t="n">
        <v>3.401197381662155</v>
      </c>
      <c r="I686">
        <f>IF(H686=0, 0, G686/H686)</f>
        <v/>
      </c>
      <c r="J686">
        <f>RANK(I686, I$2:I$1111, 0)</f>
        <v/>
      </c>
      <c r="K686">
        <f>SUM(C686)</f>
        <v/>
      </c>
      <c r="L686">
        <f>SUM(K686,D686)</f>
        <v/>
      </c>
      <c r="M686">
        <f>SUM(L686,E686,F686)</f>
        <v/>
      </c>
      <c r="N686">
        <f>IF(L686=0, -1, K686/L686)</f>
        <v/>
      </c>
      <c r="O686">
        <f>IF(M686=0, -1, K686/M686)</f>
        <v/>
      </c>
      <c r="P686">
        <f>IF(M686=0, -1, L686/M686)</f>
        <v/>
      </c>
    </row>
    <row r="687">
      <c r="A687" t="inlineStr">
        <is>
          <t>RC00930</t>
        </is>
      </c>
      <c r="B687" t="inlineStr">
        <is>
          <t>广西外国语学院</t>
        </is>
      </c>
      <c r="C687" t="n">
        <v>0</v>
      </c>
      <c r="D687" t="n">
        <v>0</v>
      </c>
      <c r="E687" t="n">
        <v>1</v>
      </c>
      <c r="F687" t="n">
        <v>1</v>
      </c>
      <c r="G687" t="n">
        <v>2521.356300349189</v>
      </c>
      <c r="H687" t="n">
        <v>8.32117830749028</v>
      </c>
      <c r="I687">
        <f>IF(H687=0, 0, G687/H687)</f>
        <v/>
      </c>
      <c r="J687">
        <f>RANK(I687, I$2:I$1111, 0)</f>
        <v/>
      </c>
      <c r="K687">
        <f>SUM(C687)</f>
        <v/>
      </c>
      <c r="L687">
        <f>SUM(K687,D687)</f>
        <v/>
      </c>
      <c r="M687">
        <f>SUM(L687,E687,F687)</f>
        <v/>
      </c>
      <c r="N687">
        <f>IF(L687=0, -1, K687/L687)</f>
        <v/>
      </c>
      <c r="O687">
        <f>IF(M687=0, -1, K687/M687)</f>
        <v/>
      </c>
      <c r="P687">
        <f>IF(M687=0, -1, L687/M687)</f>
        <v/>
      </c>
    </row>
    <row r="688">
      <c r="A688" t="inlineStr">
        <is>
          <t>RC00592</t>
        </is>
      </c>
      <c r="B688" t="inlineStr">
        <is>
          <t>长沙师范学院</t>
        </is>
      </c>
      <c r="C688" t="n">
        <v>0</v>
      </c>
      <c r="D688" t="n">
        <v>0</v>
      </c>
      <c r="E688" t="n">
        <v>3</v>
      </c>
      <c r="F688" t="n">
        <v>11</v>
      </c>
      <c r="G688" t="n">
        <v>27755.90686956301</v>
      </c>
      <c r="H688" t="n">
        <v>75.97995826425169</v>
      </c>
      <c r="I688">
        <f>IF(H688=0, 0, G688/H688)</f>
        <v/>
      </c>
      <c r="J688">
        <f>RANK(I688, I$2:I$1111, 0)</f>
        <v/>
      </c>
      <c r="K688">
        <f>SUM(C688)</f>
        <v/>
      </c>
      <c r="L688">
        <f>SUM(K688,D688)</f>
        <v/>
      </c>
      <c r="M688">
        <f>SUM(L688,E688,F688)</f>
        <v/>
      </c>
      <c r="N688">
        <f>IF(L688=0, -1, K688/L688)</f>
        <v/>
      </c>
      <c r="O688">
        <f>IF(M688=0, -1, K688/M688)</f>
        <v/>
      </c>
      <c r="P688">
        <f>IF(M688=0, -1, L688/M688)</f>
        <v/>
      </c>
    </row>
    <row r="689">
      <c r="A689" t="inlineStr">
        <is>
          <t>RC00555</t>
        </is>
      </c>
      <c r="B689" t="inlineStr">
        <is>
          <t>湖北科技学院</t>
        </is>
      </c>
      <c r="C689" t="n">
        <v>1</v>
      </c>
      <c r="D689" t="n">
        <v>0</v>
      </c>
      <c r="E689" t="n">
        <v>3</v>
      </c>
      <c r="F689" t="n">
        <v>17</v>
      </c>
      <c r="G689" t="n">
        <v>37841.50305975455</v>
      </c>
      <c r="H689" t="n">
        <v>110.6941234295111</v>
      </c>
      <c r="I689">
        <f>IF(H689=0, 0, G689/H689)</f>
        <v/>
      </c>
      <c r="J689">
        <f>RANK(I689, I$2:I$1111, 0)</f>
        <v/>
      </c>
      <c r="K689">
        <f>SUM(C689)</f>
        <v/>
      </c>
      <c r="L689">
        <f>SUM(K689,D689)</f>
        <v/>
      </c>
      <c r="M689">
        <f>SUM(L689,E689,F689)</f>
        <v/>
      </c>
      <c r="N689">
        <f>IF(L689=0, -1, K689/L689)</f>
        <v/>
      </c>
      <c r="O689">
        <f>IF(M689=0, -1, K689/M689)</f>
        <v/>
      </c>
      <c r="P689">
        <f>IF(M689=0, -1, L689/M689)</f>
        <v/>
      </c>
    </row>
    <row r="690">
      <c r="A690" t="inlineStr">
        <is>
          <t>RC00631</t>
        </is>
      </c>
      <c r="B690" t="inlineStr">
        <is>
          <t>玉林师范学院</t>
        </is>
      </c>
      <c r="C690" t="n">
        <v>0</v>
      </c>
      <c r="D690" t="n">
        <v>0</v>
      </c>
      <c r="E690" t="n">
        <v>1</v>
      </c>
      <c r="F690" t="n">
        <v>12</v>
      </c>
      <c r="G690" t="n">
        <v>22784.0119229637</v>
      </c>
      <c r="H690" t="n">
        <v>70.56528331642757</v>
      </c>
      <c r="I690">
        <f>IF(H690=0, 0, G690/H690)</f>
        <v/>
      </c>
      <c r="J690">
        <f>RANK(I690, I$2:I$1111, 0)</f>
        <v/>
      </c>
      <c r="K690">
        <f>SUM(C690)</f>
        <v/>
      </c>
      <c r="L690">
        <f>SUM(K690,D690)</f>
        <v/>
      </c>
      <c r="M690">
        <f>SUM(L690,E690,F690)</f>
        <v/>
      </c>
      <c r="N690">
        <f>IF(L690=0, -1, K690/L690)</f>
        <v/>
      </c>
      <c r="O690">
        <f>IF(M690=0, -1, K690/M690)</f>
        <v/>
      </c>
      <c r="P690">
        <f>IF(M690=0, -1, L690/M690)</f>
        <v/>
      </c>
    </row>
    <row r="691">
      <c r="A691" t="inlineStr">
        <is>
          <t>RC00266</t>
        </is>
      </c>
      <c r="B691" t="inlineStr">
        <is>
          <t>鞍山师范学院</t>
        </is>
      </c>
      <c r="C691" t="n">
        <v>0</v>
      </c>
      <c r="D691" t="n">
        <v>0</v>
      </c>
      <c r="E691" t="n">
        <v>3</v>
      </c>
      <c r="F691" t="n">
        <v>11</v>
      </c>
      <c r="G691" t="n">
        <v>24599.75473125084</v>
      </c>
      <c r="H691" t="n">
        <v>68.86022220382019</v>
      </c>
      <c r="I691">
        <f>IF(H691=0, 0, G691/H691)</f>
        <v/>
      </c>
      <c r="J691">
        <f>RANK(I691, I$2:I$1111, 0)</f>
        <v/>
      </c>
      <c r="K691">
        <f>SUM(C691)</f>
        <v/>
      </c>
      <c r="L691">
        <f>SUM(K691,D691)</f>
        <v/>
      </c>
      <c r="M691">
        <f>SUM(L691,E691,F691)</f>
        <v/>
      </c>
      <c r="N691">
        <f>IF(L691=0, -1, K691/L691)</f>
        <v/>
      </c>
      <c r="O691">
        <f>IF(M691=0, -1, K691/M691)</f>
        <v/>
      </c>
      <c r="P691">
        <f>IF(M691=0, -1, L691/M691)</f>
        <v/>
      </c>
    </row>
    <row r="692">
      <c r="A692" t="inlineStr">
        <is>
          <t>RC00794</t>
        </is>
      </c>
      <c r="B692" t="inlineStr">
        <is>
          <t>南京特殊教育师范学院</t>
        </is>
      </c>
      <c r="C692" t="n">
        <v>0</v>
      </c>
      <c r="D692" t="n">
        <v>0</v>
      </c>
      <c r="E692" t="n">
        <v>1</v>
      </c>
      <c r="F692" t="n">
        <v>12</v>
      </c>
      <c r="G692" t="n">
        <v>22365.12666590288</v>
      </c>
      <c r="H692" t="n">
        <v>59.00840388328142</v>
      </c>
      <c r="I692">
        <f>IF(H692=0, 0, G692/H692)</f>
        <v/>
      </c>
      <c r="J692">
        <f>RANK(I692, I$2:I$1111, 0)</f>
        <v/>
      </c>
      <c r="K692">
        <f>SUM(C692)</f>
        <v/>
      </c>
      <c r="L692">
        <f>SUM(K692,D692)</f>
        <v/>
      </c>
      <c r="M692">
        <f>SUM(L692,E692,F692)</f>
        <v/>
      </c>
      <c r="N692">
        <f>IF(L692=0, -1, K692/L692)</f>
        <v/>
      </c>
      <c r="O692">
        <f>IF(M692=0, -1, K692/M692)</f>
        <v/>
      </c>
      <c r="P692">
        <f>IF(M692=0, -1, L692/M692)</f>
        <v/>
      </c>
    </row>
    <row r="693">
      <c r="A693" t="inlineStr">
        <is>
          <t>RC00754</t>
        </is>
      </c>
      <c r="B693" t="inlineStr">
        <is>
          <t>陕西学前师范学院</t>
        </is>
      </c>
      <c r="C693" t="n">
        <v>0</v>
      </c>
      <c r="D693" t="n">
        <v>0</v>
      </c>
      <c r="E693" t="n">
        <v>0</v>
      </c>
      <c r="F693" t="n">
        <v>8</v>
      </c>
      <c r="G693" t="n">
        <v>13223.87971209256</v>
      </c>
      <c r="H693" t="n">
        <v>42.28334281301242</v>
      </c>
      <c r="I693">
        <f>IF(H693=0, 0, G693/H693)</f>
        <v/>
      </c>
      <c r="J693">
        <f>RANK(I693, I$2:I$1111, 0)</f>
        <v/>
      </c>
      <c r="K693">
        <f>SUM(C693)</f>
        <v/>
      </c>
      <c r="L693">
        <f>SUM(K693,D693)</f>
        <v/>
      </c>
      <c r="M693">
        <f>SUM(L693,E693,F693)</f>
        <v/>
      </c>
      <c r="N693">
        <f>IF(L693=0, -1, K693/L693)</f>
        <v/>
      </c>
      <c r="O693">
        <f>IF(M693=0, -1, K693/M693)</f>
        <v/>
      </c>
      <c r="P693">
        <f>IF(M693=0, -1, L693/M693)</f>
        <v/>
      </c>
    </row>
    <row r="694">
      <c r="A694" t="inlineStr">
        <is>
          <t>RC00761</t>
        </is>
      </c>
      <c r="B694" t="inlineStr">
        <is>
          <t>兰州城市学院</t>
        </is>
      </c>
      <c r="C694" t="n">
        <v>0</v>
      </c>
      <c r="D694" t="n">
        <v>0</v>
      </c>
      <c r="E694" t="n">
        <v>3</v>
      </c>
      <c r="F694" t="n">
        <v>8</v>
      </c>
      <c r="G694" t="n">
        <v>20824.49636903731</v>
      </c>
      <c r="H694" t="n">
        <v>52.45691067484882</v>
      </c>
      <c r="I694">
        <f>IF(H694=0, 0, G694/H694)</f>
        <v/>
      </c>
      <c r="J694">
        <f>RANK(I694, I$2:I$1111, 0)</f>
        <v/>
      </c>
      <c r="K694">
        <f>SUM(C694)</f>
        <v/>
      </c>
      <c r="L694">
        <f>SUM(K694,D694)</f>
        <v/>
      </c>
      <c r="M694">
        <f>SUM(L694,E694,F694)</f>
        <v/>
      </c>
      <c r="N694">
        <f>IF(L694=0, -1, K694/L694)</f>
        <v/>
      </c>
      <c r="O694">
        <f>IF(M694=0, -1, K694/M694)</f>
        <v/>
      </c>
      <c r="P694">
        <f>IF(M694=0, -1, L694/M694)</f>
        <v/>
      </c>
    </row>
    <row r="695">
      <c r="A695" t="inlineStr">
        <is>
          <t>RC00221</t>
        </is>
      </c>
      <c r="B695" t="inlineStr">
        <is>
          <t>长治学院</t>
        </is>
      </c>
      <c r="C695" t="n">
        <v>0</v>
      </c>
      <c r="D695" t="n">
        <v>0</v>
      </c>
      <c r="E695" t="n">
        <v>1</v>
      </c>
      <c r="F695" t="n">
        <v>6</v>
      </c>
      <c r="G695" t="n">
        <v>13238.03808911528</v>
      </c>
      <c r="H695" t="n">
        <v>36.91868527059329</v>
      </c>
      <c r="I695">
        <f>IF(H695=0, 0, G695/H695)</f>
        <v/>
      </c>
      <c r="J695">
        <f>RANK(I695, I$2:I$1111, 0)</f>
        <v/>
      </c>
      <c r="K695">
        <f>SUM(C695)</f>
        <v/>
      </c>
      <c r="L695">
        <f>SUM(K695,D695)</f>
        <v/>
      </c>
      <c r="M695">
        <f>SUM(L695,E695,F695)</f>
        <v/>
      </c>
      <c r="N695">
        <f>IF(L695=0, -1, K695/L695)</f>
        <v/>
      </c>
      <c r="O695">
        <f>IF(M695=0, -1, K695/M695)</f>
        <v/>
      </c>
      <c r="P695">
        <f>IF(M695=0, -1, L695/M695)</f>
        <v/>
      </c>
    </row>
    <row r="696">
      <c r="A696" t="inlineStr">
        <is>
          <t>RC00795</t>
        </is>
      </c>
      <c r="B696" t="inlineStr">
        <is>
          <t>广西科技师范学院</t>
        </is>
      </c>
      <c r="C696" t="n">
        <v>0</v>
      </c>
      <c r="D696" t="n">
        <v>0</v>
      </c>
      <c r="E696" t="n">
        <v>1</v>
      </c>
      <c r="F696" t="n">
        <v>7</v>
      </c>
      <c r="G696" t="n">
        <v>12984.1163918937</v>
      </c>
      <c r="H696" t="n">
        <v>39.820845851604</v>
      </c>
      <c r="I696">
        <f>IF(H696=0, 0, G696/H696)</f>
        <v/>
      </c>
      <c r="J696">
        <f>RANK(I696, I$2:I$1111, 0)</f>
        <v/>
      </c>
      <c r="K696">
        <f>SUM(C696)</f>
        <v/>
      </c>
      <c r="L696">
        <f>SUM(K696,D696)</f>
        <v/>
      </c>
      <c r="M696">
        <f>SUM(L696,E696,F696)</f>
        <v/>
      </c>
      <c r="N696">
        <f>IF(L696=0, -1, K696/L696)</f>
        <v/>
      </c>
      <c r="O696">
        <f>IF(M696=0, -1, K696/M696)</f>
        <v/>
      </c>
      <c r="P696">
        <f>IF(M696=0, -1, L696/M696)</f>
        <v/>
      </c>
    </row>
    <row r="697">
      <c r="A697" t="inlineStr">
        <is>
          <t>RC00697</t>
        </is>
      </c>
      <c r="B697" t="inlineStr">
        <is>
          <t>凯里学院</t>
        </is>
      </c>
      <c r="C697" t="n">
        <v>0</v>
      </c>
      <c r="D697" t="n">
        <v>0</v>
      </c>
      <c r="E697" t="n">
        <v>0</v>
      </c>
      <c r="F697" t="n">
        <v>14</v>
      </c>
      <c r="G697" t="n">
        <v>21451.44425485313</v>
      </c>
      <c r="H697" t="n">
        <v>74.84610401083636</v>
      </c>
      <c r="I697">
        <f>IF(H697=0, 0, G697/H697)</f>
        <v/>
      </c>
      <c r="J697">
        <f>RANK(I697, I$2:I$1111, 0)</f>
        <v/>
      </c>
      <c r="K697">
        <f>SUM(C697)</f>
        <v/>
      </c>
      <c r="L697">
        <f>SUM(K697,D697)</f>
        <v/>
      </c>
      <c r="M697">
        <f>SUM(L697,E697,F697)</f>
        <v/>
      </c>
      <c r="N697">
        <f>IF(L697=0, -1, K697/L697)</f>
        <v/>
      </c>
      <c r="O697">
        <f>IF(M697=0, -1, K697/M697)</f>
        <v/>
      </c>
      <c r="P697">
        <f>IF(M697=0, -1, L697/M697)</f>
        <v/>
      </c>
    </row>
    <row r="698">
      <c r="A698" t="inlineStr">
        <is>
          <t>RC00764</t>
        </is>
      </c>
      <c r="B698" t="inlineStr">
        <is>
          <t>河西学院</t>
        </is>
      </c>
      <c r="C698" t="n">
        <v>0</v>
      </c>
      <c r="D698" t="n">
        <v>0</v>
      </c>
      <c r="E698" t="n">
        <v>2</v>
      </c>
      <c r="F698" t="n">
        <v>15</v>
      </c>
      <c r="G698" t="n">
        <v>28179.37852028716</v>
      </c>
      <c r="H698" t="n">
        <v>83.77211617805231</v>
      </c>
      <c r="I698">
        <f>IF(H698=0, 0, G698/H698)</f>
        <v/>
      </c>
      <c r="J698">
        <f>RANK(I698, I$2:I$1111, 0)</f>
        <v/>
      </c>
      <c r="K698">
        <f>SUM(C698)</f>
        <v/>
      </c>
      <c r="L698">
        <f>SUM(K698,D698)</f>
        <v/>
      </c>
      <c r="M698">
        <f>SUM(L698,E698,F698)</f>
        <v/>
      </c>
      <c r="N698">
        <f>IF(L698=0, -1, K698/L698)</f>
        <v/>
      </c>
      <c r="O698">
        <f>IF(M698=0, -1, K698/M698)</f>
        <v/>
      </c>
      <c r="P698">
        <f>IF(M698=0, -1, L698/M698)</f>
        <v/>
      </c>
    </row>
    <row r="699">
      <c r="A699" t="inlineStr">
        <is>
          <t>RC00226</t>
        </is>
      </c>
      <c r="B699" t="inlineStr">
        <is>
          <t>吕梁学院</t>
        </is>
      </c>
      <c r="C699" t="n">
        <v>0</v>
      </c>
      <c r="D699" t="n">
        <v>0</v>
      </c>
      <c r="E699" t="n">
        <v>0</v>
      </c>
      <c r="F699" t="n">
        <v>2</v>
      </c>
      <c r="G699" t="n">
        <v>3813.158948197008</v>
      </c>
      <c r="H699" t="n">
        <v>8.166216268592143</v>
      </c>
      <c r="I699">
        <f>IF(H699=0, 0, G699/H699)</f>
        <v/>
      </c>
      <c r="J699">
        <f>RANK(I699, I$2:I$1111, 0)</f>
        <v/>
      </c>
      <c r="K699">
        <f>SUM(C699)</f>
        <v/>
      </c>
      <c r="L699">
        <f>SUM(K699,D699)</f>
        <v/>
      </c>
      <c r="M699">
        <f>SUM(L699,E699,F699)</f>
        <v/>
      </c>
      <c r="N699">
        <f>IF(L699=0, -1, K699/L699)</f>
        <v/>
      </c>
      <c r="O699">
        <f>IF(M699=0, -1, K699/M699)</f>
        <v/>
      </c>
      <c r="P699">
        <f>IF(M699=0, -1, L699/M699)</f>
        <v/>
      </c>
    </row>
    <row r="700">
      <c r="A700" t="inlineStr">
        <is>
          <t>RC00702</t>
        </is>
      </c>
      <c r="B700" t="inlineStr">
        <is>
          <t>六盘水师范学院</t>
        </is>
      </c>
      <c r="C700" t="n">
        <v>0</v>
      </c>
      <c r="D700" t="n">
        <v>0</v>
      </c>
      <c r="E700" t="n">
        <v>1</v>
      </c>
      <c r="F700" t="n">
        <v>6</v>
      </c>
      <c r="G700" t="n">
        <v>12036.47180901945</v>
      </c>
      <c r="H700" t="n">
        <v>34.7616675715971</v>
      </c>
      <c r="I700">
        <f>IF(H700=0, 0, G700/H700)</f>
        <v/>
      </c>
      <c r="J700">
        <f>RANK(I700, I$2:I$1111, 0)</f>
        <v/>
      </c>
      <c r="K700">
        <f>SUM(C700)</f>
        <v/>
      </c>
      <c r="L700">
        <f>SUM(K700,D700)</f>
        <v/>
      </c>
      <c r="M700">
        <f>SUM(L700,E700,F700)</f>
        <v/>
      </c>
      <c r="N700">
        <f>IF(L700=0, -1, K700/L700)</f>
        <v/>
      </c>
      <c r="O700">
        <f>IF(M700=0, -1, K700/M700)</f>
        <v/>
      </c>
      <c r="P700">
        <f>IF(M700=0, -1, L700/M700)</f>
        <v/>
      </c>
    </row>
    <row r="701">
      <c r="A701" t="inlineStr">
        <is>
          <t>RC00518</t>
        </is>
      </c>
      <c r="B701" t="inlineStr">
        <is>
          <t>许昌学院</t>
        </is>
      </c>
      <c r="C701" t="n">
        <v>0</v>
      </c>
      <c r="D701" t="n">
        <v>0</v>
      </c>
      <c r="E701" t="n">
        <v>1</v>
      </c>
      <c r="F701" t="n">
        <v>14</v>
      </c>
      <c r="G701" t="n">
        <v>23422.08908281122</v>
      </c>
      <c r="H701" t="n">
        <v>78.38595194738976</v>
      </c>
      <c r="I701">
        <f>IF(H701=0, 0, G701/H701)</f>
        <v/>
      </c>
      <c r="J701">
        <f>RANK(I701, I$2:I$1111, 0)</f>
        <v/>
      </c>
      <c r="K701">
        <f>SUM(C701)</f>
        <v/>
      </c>
      <c r="L701">
        <f>SUM(K701,D701)</f>
        <v/>
      </c>
      <c r="M701">
        <f>SUM(L701,E701,F701)</f>
        <v/>
      </c>
      <c r="N701">
        <f>IF(L701=0, -1, K701/L701)</f>
        <v/>
      </c>
      <c r="O701">
        <f>IF(M701=0, -1, K701/M701)</f>
        <v/>
      </c>
      <c r="P701">
        <f>IF(M701=0, -1, L701/M701)</f>
        <v/>
      </c>
    </row>
    <row r="702">
      <c r="A702" t="inlineStr">
        <is>
          <t>RC00423</t>
        </is>
      </c>
      <c r="B702" t="inlineStr">
        <is>
          <t>池州学院</t>
        </is>
      </c>
      <c r="C702" t="n">
        <v>0</v>
      </c>
      <c r="D702" t="n">
        <v>0</v>
      </c>
      <c r="E702" t="n">
        <v>1</v>
      </c>
      <c r="F702" t="n">
        <v>15</v>
      </c>
      <c r="G702" t="n">
        <v>26092.31579904646</v>
      </c>
      <c r="H702" t="n">
        <v>81.49626818957057</v>
      </c>
      <c r="I702">
        <f>IF(H702=0, 0, G702/H702)</f>
        <v/>
      </c>
      <c r="J702">
        <f>RANK(I702, I$2:I$1111, 0)</f>
        <v/>
      </c>
      <c r="K702">
        <f>SUM(C702)</f>
        <v/>
      </c>
      <c r="L702">
        <f>SUM(K702,D702)</f>
        <v/>
      </c>
      <c r="M702">
        <f>SUM(L702,E702,F702)</f>
        <v/>
      </c>
      <c r="N702">
        <f>IF(L702=0, -1, K702/L702)</f>
        <v/>
      </c>
      <c r="O702">
        <f>IF(M702=0, -1, K702/M702)</f>
        <v/>
      </c>
      <c r="P702">
        <f>IF(M702=0, -1, L702/M702)</f>
        <v/>
      </c>
    </row>
    <row r="703">
      <c r="A703" t="inlineStr">
        <is>
          <t>RC00531</t>
        </is>
      </c>
      <c r="B703" t="inlineStr">
        <is>
          <t>南阳理工学院</t>
        </is>
      </c>
      <c r="C703" t="n">
        <v>0</v>
      </c>
      <c r="D703" t="n">
        <v>0</v>
      </c>
      <c r="E703" t="n">
        <v>2</v>
      </c>
      <c r="F703" t="n">
        <v>14</v>
      </c>
      <c r="G703" t="n">
        <v>26781.36068006735</v>
      </c>
      <c r="H703" t="n">
        <v>85.2047661924059</v>
      </c>
      <c r="I703">
        <f>IF(H703=0, 0, G703/H703)</f>
        <v/>
      </c>
      <c r="J703">
        <f>RANK(I703, I$2:I$1111, 0)</f>
        <v/>
      </c>
      <c r="K703">
        <f>SUM(C703)</f>
        <v/>
      </c>
      <c r="L703">
        <f>SUM(K703,D703)</f>
        <v/>
      </c>
      <c r="M703">
        <f>SUM(L703,E703,F703)</f>
        <v/>
      </c>
      <c r="N703">
        <f>IF(L703=0, -1, K703/L703)</f>
        <v/>
      </c>
      <c r="O703">
        <f>IF(M703=0, -1, K703/M703)</f>
        <v/>
      </c>
      <c r="P703">
        <f>IF(M703=0, -1, L703/M703)</f>
        <v/>
      </c>
    </row>
    <row r="704">
      <c r="A704" t="inlineStr">
        <is>
          <t>RC00198</t>
        </is>
      </c>
      <c r="B704" t="inlineStr">
        <is>
          <t>沧州师范学院</t>
        </is>
      </c>
      <c r="C704" t="n">
        <v>0</v>
      </c>
      <c r="D704" t="n">
        <v>0</v>
      </c>
      <c r="E704" t="n">
        <v>2</v>
      </c>
      <c r="F704" t="n">
        <v>11</v>
      </c>
      <c r="G704" t="n">
        <v>21152.53356565587</v>
      </c>
      <c r="H704" t="n">
        <v>68.02437826039848</v>
      </c>
      <c r="I704">
        <f>IF(H704=0, 0, G704/H704)</f>
        <v/>
      </c>
      <c r="J704">
        <f>RANK(I704, I$2:I$1111, 0)</f>
        <v/>
      </c>
      <c r="K704">
        <f>SUM(C704)</f>
        <v/>
      </c>
      <c r="L704">
        <f>SUM(K704,D704)</f>
        <v/>
      </c>
      <c r="M704">
        <f>SUM(L704,E704,F704)</f>
        <v/>
      </c>
      <c r="N704">
        <f>IF(L704=0, -1, K704/L704)</f>
        <v/>
      </c>
      <c r="O704">
        <f>IF(M704=0, -1, K704/M704)</f>
        <v/>
      </c>
      <c r="P704">
        <f>IF(M704=0, -1, L704/M704)</f>
        <v/>
      </c>
    </row>
    <row r="705">
      <c r="A705" t="inlineStr">
        <is>
          <t>RC00243</t>
        </is>
      </c>
      <c r="B705" t="inlineStr">
        <is>
          <t>呼和浩特民族学院</t>
        </is>
      </c>
      <c r="C705" t="n">
        <v>0</v>
      </c>
      <c r="D705" t="n">
        <v>0</v>
      </c>
      <c r="E705" t="n">
        <v>0</v>
      </c>
      <c r="F705" t="n">
        <v>5</v>
      </c>
      <c r="G705" t="n">
        <v>8067.015803186434</v>
      </c>
      <c r="H705" t="n">
        <v>26.34487643730612</v>
      </c>
      <c r="I705">
        <f>IF(H705=0, 0, G705/H705)</f>
        <v/>
      </c>
      <c r="J705">
        <f>RANK(I705, I$2:I$1111, 0)</f>
        <v/>
      </c>
      <c r="K705">
        <f>SUM(C705)</f>
        <v/>
      </c>
      <c r="L705">
        <f>SUM(K705,D705)</f>
        <v/>
      </c>
      <c r="M705">
        <f>SUM(L705,E705,F705)</f>
        <v/>
      </c>
      <c r="N705">
        <f>IF(L705=0, -1, K705/L705)</f>
        <v/>
      </c>
      <c r="O705">
        <f>IF(M705=0, -1, K705/M705)</f>
        <v/>
      </c>
      <c r="P705">
        <f>IF(M705=0, -1, L705/M705)</f>
        <v/>
      </c>
    </row>
    <row r="706">
      <c r="A706" t="inlineStr">
        <is>
          <t>RC00802</t>
        </is>
      </c>
      <c r="B706" t="inlineStr">
        <is>
          <t>内蒙古科技大学包头师范学院</t>
        </is>
      </c>
      <c r="C706" t="n">
        <v>0</v>
      </c>
      <c r="D706" t="n">
        <v>0</v>
      </c>
      <c r="E706" t="n">
        <v>1</v>
      </c>
      <c r="F706" t="n">
        <v>11</v>
      </c>
      <c r="G706" t="n">
        <v>19874.54118795817</v>
      </c>
      <c r="H706" t="n">
        <v>64.53465669905432</v>
      </c>
      <c r="I706">
        <f>IF(H706=0, 0, G706/H706)</f>
        <v/>
      </c>
      <c r="J706">
        <f>RANK(I706, I$2:I$1111, 0)</f>
        <v/>
      </c>
      <c r="K706">
        <f>SUM(C706)</f>
        <v/>
      </c>
      <c r="L706">
        <f>SUM(K706,D706)</f>
        <v/>
      </c>
      <c r="M706">
        <f>SUM(L706,E706,F706)</f>
        <v/>
      </c>
      <c r="N706">
        <f>IF(L706=0, -1, K706/L706)</f>
        <v/>
      </c>
      <c r="O706">
        <f>IF(M706=0, -1, K706/M706)</f>
        <v/>
      </c>
      <c r="P706">
        <f>IF(M706=0, -1, L706/M706)</f>
        <v/>
      </c>
    </row>
    <row r="707">
      <c r="A707" t="inlineStr">
        <is>
          <t>RC00450</t>
        </is>
      </c>
      <c r="B707" t="inlineStr">
        <is>
          <t>上饶师范学院</t>
        </is>
      </c>
      <c r="C707" t="n">
        <v>0</v>
      </c>
      <c r="D707" t="n">
        <v>0</v>
      </c>
      <c r="E707" t="n">
        <v>0</v>
      </c>
      <c r="F707" t="n">
        <v>9</v>
      </c>
      <c r="G707" t="n">
        <v>15868.00773646115</v>
      </c>
      <c r="H707" t="n">
        <v>48.76539283511153</v>
      </c>
      <c r="I707">
        <f>IF(H707=0, 0, G707/H707)</f>
        <v/>
      </c>
      <c r="J707">
        <f>RANK(I707, I$2:I$1111, 0)</f>
        <v/>
      </c>
      <c r="K707">
        <f>SUM(C707)</f>
        <v/>
      </c>
      <c r="L707">
        <f>SUM(K707,D707)</f>
        <v/>
      </c>
      <c r="M707">
        <f>SUM(L707,E707,F707)</f>
        <v/>
      </c>
      <c r="N707">
        <f>IF(L707=0, -1, K707/L707)</f>
        <v/>
      </c>
      <c r="O707">
        <f>IF(M707=0, -1, K707/M707)</f>
        <v/>
      </c>
      <c r="P707">
        <f>IF(M707=0, -1, L707/M707)</f>
        <v/>
      </c>
    </row>
    <row r="708">
      <c r="A708" t="inlineStr">
        <is>
          <t>RC01250</t>
        </is>
      </c>
      <c r="B708" t="inlineStr">
        <is>
          <t>豫章师范学院</t>
        </is>
      </c>
      <c r="C708" t="n">
        <v>0</v>
      </c>
      <c r="D708" t="n">
        <v>0</v>
      </c>
      <c r="E708" t="n">
        <v>0</v>
      </c>
      <c r="F708" t="n">
        <v>4</v>
      </c>
      <c r="G708" t="n">
        <v>5984.492496264468</v>
      </c>
      <c r="H708" t="n">
        <v>15.68645082506677</v>
      </c>
      <c r="I708">
        <f>IF(H708=0, 0, G708/H708)</f>
        <v/>
      </c>
      <c r="J708">
        <f>RANK(I708, I$2:I$1111, 0)</f>
        <v/>
      </c>
      <c r="K708">
        <f>SUM(C708)</f>
        <v/>
      </c>
      <c r="L708">
        <f>SUM(K708,D708)</f>
        <v/>
      </c>
      <c r="M708">
        <f>SUM(L708,E708,F708)</f>
        <v/>
      </c>
      <c r="N708">
        <f>IF(L708=0, -1, K708/L708)</f>
        <v/>
      </c>
      <c r="O708">
        <f>IF(M708=0, -1, K708/M708)</f>
        <v/>
      </c>
      <c r="P708">
        <f>IF(M708=0, -1, L708/M708)</f>
        <v/>
      </c>
    </row>
    <row r="709">
      <c r="A709" t="inlineStr">
        <is>
          <t>RC00602</t>
        </is>
      </c>
      <c r="B709" t="inlineStr">
        <is>
          <t>嘉应学院</t>
        </is>
      </c>
      <c r="C709" t="n">
        <v>0</v>
      </c>
      <c r="D709" t="n">
        <v>0</v>
      </c>
      <c r="E709" t="n">
        <v>1</v>
      </c>
      <c r="F709" t="n">
        <v>9</v>
      </c>
      <c r="G709" t="n">
        <v>16230.17378872431</v>
      </c>
      <c r="H709" t="n">
        <v>50.074530957867</v>
      </c>
      <c r="I709">
        <f>IF(H709=0, 0, G709/H709)</f>
        <v/>
      </c>
      <c r="J709">
        <f>RANK(I709, I$2:I$1111, 0)</f>
        <v/>
      </c>
      <c r="K709">
        <f>SUM(C709)</f>
        <v/>
      </c>
      <c r="L709">
        <f>SUM(K709,D709)</f>
        <v/>
      </c>
      <c r="M709">
        <f>SUM(L709,E709,F709)</f>
        <v/>
      </c>
      <c r="N709">
        <f>IF(L709=0, -1, K709/L709)</f>
        <v/>
      </c>
      <c r="O709">
        <f>IF(M709=0, -1, K709/M709)</f>
        <v/>
      </c>
      <c r="P709">
        <f>IF(M709=0, -1, L709/M709)</f>
        <v/>
      </c>
    </row>
    <row r="710">
      <c r="A710" t="inlineStr">
        <is>
          <t>RC00525</t>
        </is>
      </c>
      <c r="B710" t="inlineStr">
        <is>
          <t>平顶山学院</t>
        </is>
      </c>
      <c r="C710" t="n">
        <v>0</v>
      </c>
      <c r="D710" t="n">
        <v>0</v>
      </c>
      <c r="E710" t="n">
        <v>2</v>
      </c>
      <c r="F710" t="n">
        <v>12</v>
      </c>
      <c r="G710" t="n">
        <v>25448.36884770197</v>
      </c>
      <c r="H710" t="n">
        <v>74.90277249870289</v>
      </c>
      <c r="I710">
        <f>IF(H710=0, 0, G710/H710)</f>
        <v/>
      </c>
      <c r="J710">
        <f>RANK(I710, I$2:I$1111, 0)</f>
        <v/>
      </c>
      <c r="K710">
        <f>SUM(C710)</f>
        <v/>
      </c>
      <c r="L710">
        <f>SUM(K710,D710)</f>
        <v/>
      </c>
      <c r="M710">
        <f>SUM(L710,E710,F710)</f>
        <v/>
      </c>
      <c r="N710">
        <f>IF(L710=0, -1, K710/L710)</f>
        <v/>
      </c>
      <c r="O710">
        <f>IF(M710=0, -1, K710/M710)</f>
        <v/>
      </c>
      <c r="P710">
        <f>IF(M710=0, -1, L710/M710)</f>
        <v/>
      </c>
    </row>
    <row r="711">
      <c r="A711" t="inlineStr">
        <is>
          <t>RC00675</t>
        </is>
      </c>
      <c r="B711" t="inlineStr">
        <is>
          <t>四川文理学院</t>
        </is>
      </c>
      <c r="C711" t="n">
        <v>0</v>
      </c>
      <c r="D711" t="n">
        <v>0</v>
      </c>
      <c r="E711" t="n">
        <v>0</v>
      </c>
      <c r="F711" t="n">
        <v>19</v>
      </c>
      <c r="G711" t="n">
        <v>31935.11914918447</v>
      </c>
      <c r="H711" t="n">
        <v>90.59224148948405</v>
      </c>
      <c r="I711">
        <f>IF(H711=0, 0, G711/H711)</f>
        <v/>
      </c>
      <c r="J711">
        <f>RANK(I711, I$2:I$1111, 0)</f>
        <v/>
      </c>
      <c r="K711">
        <f>SUM(C711)</f>
        <v/>
      </c>
      <c r="L711">
        <f>SUM(K711,D711)</f>
        <v/>
      </c>
      <c r="M711">
        <f>SUM(L711,E711,F711)</f>
        <v/>
      </c>
      <c r="N711">
        <f>IF(L711=0, -1, K711/L711)</f>
        <v/>
      </c>
      <c r="O711">
        <f>IF(M711=0, -1, K711/M711)</f>
        <v/>
      </c>
      <c r="P711">
        <f>IF(M711=0, -1, L711/M711)</f>
        <v/>
      </c>
    </row>
    <row r="712">
      <c r="A712" t="inlineStr">
        <is>
          <t>RC00318</t>
        </is>
      </c>
      <c r="B712" t="inlineStr">
        <is>
          <t>大庆师范学院</t>
        </is>
      </c>
      <c r="C712" t="n">
        <v>0</v>
      </c>
      <c r="D712" t="n">
        <v>0</v>
      </c>
      <c r="E712" t="n">
        <v>0</v>
      </c>
      <c r="F712" t="n">
        <v>10</v>
      </c>
      <c r="G712" t="n">
        <v>14226.65797040134</v>
      </c>
      <c r="H712" t="n">
        <v>48.75609056583753</v>
      </c>
      <c r="I712">
        <f>IF(H712=0, 0, G712/H712)</f>
        <v/>
      </c>
      <c r="J712">
        <f>RANK(I712, I$2:I$1111, 0)</f>
        <v/>
      </c>
      <c r="K712">
        <f>SUM(C712)</f>
        <v/>
      </c>
      <c r="L712">
        <f>SUM(K712,D712)</f>
        <v/>
      </c>
      <c r="M712">
        <f>SUM(L712,E712,F712)</f>
        <v/>
      </c>
      <c r="N712">
        <f>IF(L712=0, -1, K712/L712)</f>
        <v/>
      </c>
      <c r="O712">
        <f>IF(M712=0, -1, K712/M712)</f>
        <v/>
      </c>
      <c r="P712">
        <f>IF(M712=0, -1, L712/M712)</f>
        <v/>
      </c>
    </row>
    <row r="713">
      <c r="A713" t="inlineStr">
        <is>
          <t>RC00292</t>
        </is>
      </c>
      <c r="B713" t="inlineStr">
        <is>
          <t>吉林工程技术师范学院</t>
        </is>
      </c>
      <c r="C713" t="n">
        <v>0</v>
      </c>
      <c r="D713" t="n">
        <v>0</v>
      </c>
      <c r="E713" t="n">
        <v>4</v>
      </c>
      <c r="F713" t="n">
        <v>17</v>
      </c>
      <c r="G713" t="n">
        <v>37435.34747114448</v>
      </c>
      <c r="H713" t="n">
        <v>107.9138133031871</v>
      </c>
      <c r="I713">
        <f>IF(H713=0, 0, G713/H713)</f>
        <v/>
      </c>
      <c r="J713">
        <f>RANK(I713, I$2:I$1111, 0)</f>
        <v/>
      </c>
      <c r="K713">
        <f>SUM(C713)</f>
        <v/>
      </c>
      <c r="L713">
        <f>SUM(K713,D713)</f>
        <v/>
      </c>
      <c r="M713">
        <f>SUM(L713,E713,F713)</f>
        <v/>
      </c>
      <c r="N713">
        <f>IF(L713=0, -1, K713/L713)</f>
        <v/>
      </c>
      <c r="O713">
        <f>IF(M713=0, -1, K713/M713)</f>
        <v/>
      </c>
      <c r="P713">
        <f>IF(M713=0, -1, L713/M713)</f>
        <v/>
      </c>
    </row>
    <row r="714">
      <c r="A714" t="inlineStr">
        <is>
          <t>RC00290</t>
        </is>
      </c>
      <c r="B714" t="inlineStr">
        <is>
          <t>通化师范学院</t>
        </is>
      </c>
      <c r="C714" t="n">
        <v>0</v>
      </c>
      <c r="D714" t="n">
        <v>0</v>
      </c>
      <c r="E714" t="n">
        <v>1</v>
      </c>
      <c r="F714" t="n">
        <v>4</v>
      </c>
      <c r="G714" t="n">
        <v>9207.513551853934</v>
      </c>
      <c r="H714" t="n">
        <v>25.60694886457904</v>
      </c>
      <c r="I714">
        <f>IF(H714=0, 0, G714/H714)</f>
        <v/>
      </c>
      <c r="J714">
        <f>RANK(I714, I$2:I$1111, 0)</f>
        <v/>
      </c>
      <c r="K714">
        <f>SUM(C714)</f>
        <v/>
      </c>
      <c r="L714">
        <f>SUM(K714,D714)</f>
        <v/>
      </c>
      <c r="M714">
        <f>SUM(L714,E714,F714)</f>
        <v/>
      </c>
      <c r="N714">
        <f>IF(L714=0, -1, K714/L714)</f>
        <v/>
      </c>
      <c r="O714">
        <f>IF(M714=0, -1, K714/M714)</f>
        <v/>
      </c>
      <c r="P714">
        <f>IF(M714=0, -1, L714/M714)</f>
        <v/>
      </c>
    </row>
    <row r="715">
      <c r="A715" t="inlineStr">
        <is>
          <t>RC00603</t>
        </is>
      </c>
      <c r="B715" t="inlineStr">
        <is>
          <t>广州体育学院</t>
        </is>
      </c>
      <c r="C715" t="n">
        <v>1</v>
      </c>
      <c r="D715" t="n">
        <v>4</v>
      </c>
      <c r="E715" t="n">
        <v>7</v>
      </c>
      <c r="F715" t="n">
        <v>4</v>
      </c>
      <c r="G715" t="n">
        <v>34460.15709766808</v>
      </c>
      <c r="H715" t="n">
        <v>59.20695098021385</v>
      </c>
      <c r="I715">
        <f>IF(H715=0, 0, G715/H715)</f>
        <v/>
      </c>
      <c r="J715">
        <f>RANK(I715, I$2:I$1111, 0)</f>
        <v/>
      </c>
      <c r="K715">
        <f>SUM(C715)</f>
        <v/>
      </c>
      <c r="L715">
        <f>SUM(K715,D715)</f>
        <v/>
      </c>
      <c r="M715">
        <f>SUM(L715,E715,F715)</f>
        <v/>
      </c>
      <c r="N715">
        <f>IF(L715=0, -1, K715/L715)</f>
        <v/>
      </c>
      <c r="O715">
        <f>IF(M715=0, -1, K715/M715)</f>
        <v/>
      </c>
      <c r="P715">
        <f>IF(M715=0, -1, L715/M715)</f>
        <v/>
      </c>
    </row>
    <row r="716">
      <c r="A716" t="inlineStr">
        <is>
          <t>RC01247</t>
        </is>
      </c>
      <c r="B716" t="inlineStr">
        <is>
          <t>亳州学院</t>
        </is>
      </c>
      <c r="C716" t="n">
        <v>0</v>
      </c>
      <c r="D716" t="n">
        <v>0</v>
      </c>
      <c r="E716" t="n">
        <v>0</v>
      </c>
      <c r="F716" t="n">
        <v>8</v>
      </c>
      <c r="G716" t="n">
        <v>11855.92591461956</v>
      </c>
      <c r="H716" t="n">
        <v>37.8264451237426</v>
      </c>
      <c r="I716">
        <f>IF(H716=0, 0, G716/H716)</f>
        <v/>
      </c>
      <c r="J716">
        <f>RANK(I716, I$2:I$1111, 0)</f>
        <v/>
      </c>
      <c r="K716">
        <f>SUM(C716)</f>
        <v/>
      </c>
      <c r="L716">
        <f>SUM(K716,D716)</f>
        <v/>
      </c>
      <c r="M716">
        <f>SUM(L716,E716,F716)</f>
        <v/>
      </c>
      <c r="N716">
        <f>IF(L716=0, -1, K716/L716)</f>
        <v/>
      </c>
      <c r="O716">
        <f>IF(M716=0, -1, K716/M716)</f>
        <v/>
      </c>
      <c r="P716">
        <f>IF(M716=0, -1, L716/M716)</f>
        <v/>
      </c>
    </row>
    <row r="717">
      <c r="A717" t="inlineStr">
        <is>
          <t>RC00219</t>
        </is>
      </c>
      <c r="B717" t="inlineStr">
        <is>
          <t>山西大同大学</t>
        </is>
      </c>
      <c r="C717" t="n">
        <v>0</v>
      </c>
      <c r="D717" t="n">
        <v>0</v>
      </c>
      <c r="E717" t="n">
        <v>5</v>
      </c>
      <c r="F717" t="n">
        <v>20</v>
      </c>
      <c r="G717" t="n">
        <v>42018.22597347894</v>
      </c>
      <c r="H717" t="n">
        <v>126.4757428345557</v>
      </c>
      <c r="I717">
        <f>IF(H717=0, 0, G717/H717)</f>
        <v/>
      </c>
      <c r="J717">
        <f>RANK(I717, I$2:I$1111, 0)</f>
        <v/>
      </c>
      <c r="K717">
        <f>SUM(C717)</f>
        <v/>
      </c>
      <c r="L717">
        <f>SUM(K717,D717)</f>
        <v/>
      </c>
      <c r="M717">
        <f>SUM(L717,E717,F717)</f>
        <v/>
      </c>
      <c r="N717">
        <f>IF(L717=0, -1, K717/L717)</f>
        <v/>
      </c>
      <c r="O717">
        <f>IF(M717=0, -1, K717/M717)</f>
        <v/>
      </c>
      <c r="P717">
        <f>IF(M717=0, -1, L717/M717)</f>
        <v/>
      </c>
    </row>
    <row r="718">
      <c r="A718" t="inlineStr">
        <is>
          <t>RC00223</t>
        </is>
      </c>
      <c r="B718" t="inlineStr">
        <is>
          <t>忻州师范学院</t>
        </is>
      </c>
      <c r="C718" t="n">
        <v>0</v>
      </c>
      <c r="D718" t="n">
        <v>0</v>
      </c>
      <c r="E718" t="n">
        <v>0</v>
      </c>
      <c r="F718" t="n">
        <v>6</v>
      </c>
      <c r="G718" t="n">
        <v>9158.516401907676</v>
      </c>
      <c r="H718" t="n">
        <v>30.91433024028672</v>
      </c>
      <c r="I718">
        <f>IF(H718=0, 0, G718/H718)</f>
        <v/>
      </c>
      <c r="J718">
        <f>RANK(I718, I$2:I$1111, 0)</f>
        <v/>
      </c>
      <c r="K718">
        <f>SUM(C718)</f>
        <v/>
      </c>
      <c r="L718">
        <f>SUM(K718,D718)</f>
        <v/>
      </c>
      <c r="M718">
        <f>SUM(L718,E718,F718)</f>
        <v/>
      </c>
      <c r="N718">
        <f>IF(L718=0, -1, K718/L718)</f>
        <v/>
      </c>
      <c r="O718">
        <f>IF(M718=0, -1, K718/M718)</f>
        <v/>
      </c>
      <c r="P718">
        <f>IF(M718=0, -1, L718/M718)</f>
        <v/>
      </c>
    </row>
    <row r="719">
      <c r="A719" t="inlineStr">
        <is>
          <t>RC00521</t>
        </is>
      </c>
      <c r="B719" t="inlineStr">
        <is>
          <t>商丘师范学院</t>
        </is>
      </c>
      <c r="C719" t="n">
        <v>0</v>
      </c>
      <c r="D719" t="n">
        <v>0</v>
      </c>
      <c r="E719" t="n">
        <v>2</v>
      </c>
      <c r="F719" t="n">
        <v>13</v>
      </c>
      <c r="G719" t="n">
        <v>25992.92699038707</v>
      </c>
      <c r="H719" t="n">
        <v>79.2952987085316</v>
      </c>
      <c r="I719">
        <f>IF(H719=0, 0, G719/H719)</f>
        <v/>
      </c>
      <c r="J719">
        <f>RANK(I719, I$2:I$1111, 0)</f>
        <v/>
      </c>
      <c r="K719">
        <f>SUM(C719)</f>
        <v/>
      </c>
      <c r="L719">
        <f>SUM(K719,D719)</f>
        <v/>
      </c>
      <c r="M719">
        <f>SUM(L719,E719,F719)</f>
        <v/>
      </c>
      <c r="N719">
        <f>IF(L719=0, -1, K719/L719)</f>
        <v/>
      </c>
      <c r="O719">
        <f>IF(M719=0, -1, K719/M719)</f>
        <v/>
      </c>
      <c r="P719">
        <f>IF(M719=0, -1, L719/M719)</f>
        <v/>
      </c>
    </row>
    <row r="720">
      <c r="A720" t="inlineStr">
        <is>
          <t>RC00490</t>
        </is>
      </c>
      <c r="B720" t="inlineStr">
        <is>
          <t>枣庄学院</t>
        </is>
      </c>
      <c r="C720" t="n">
        <v>0</v>
      </c>
      <c r="D720" t="n">
        <v>0</v>
      </c>
      <c r="E720" t="n">
        <v>1</v>
      </c>
      <c r="F720" t="n">
        <v>9</v>
      </c>
      <c r="G720" t="n">
        <v>16445.54821441682</v>
      </c>
      <c r="H720" t="n">
        <v>49.05673935882658</v>
      </c>
      <c r="I720">
        <f>IF(H720=0, 0, G720/H720)</f>
        <v/>
      </c>
      <c r="J720">
        <f>RANK(I720, I$2:I$1111, 0)</f>
        <v/>
      </c>
      <c r="K720">
        <f>SUM(C720)</f>
        <v/>
      </c>
      <c r="L720">
        <f>SUM(K720,D720)</f>
        <v/>
      </c>
      <c r="M720">
        <f>SUM(L720,E720,F720)</f>
        <v/>
      </c>
      <c r="N720">
        <f>IF(L720=0, -1, K720/L720)</f>
        <v/>
      </c>
      <c r="O720">
        <f>IF(M720=0, -1, K720/M720)</f>
        <v/>
      </c>
      <c r="P720">
        <f>IF(M720=0, -1, L720/M720)</f>
        <v/>
      </c>
    </row>
    <row r="721">
      <c r="A721" t="inlineStr">
        <is>
          <t>RC00934</t>
        </is>
      </c>
      <c r="B721" t="inlineStr">
        <is>
          <t>重庆人文科技学院</t>
        </is>
      </c>
      <c r="C721" t="n">
        <v>0</v>
      </c>
      <c r="D721" t="n">
        <v>0</v>
      </c>
      <c r="E721" t="n">
        <v>1</v>
      </c>
      <c r="F721" t="n">
        <v>9</v>
      </c>
      <c r="G721" t="n">
        <v>14910.02084828087</v>
      </c>
      <c r="H721" t="n">
        <v>50.85205822449166</v>
      </c>
      <c r="I721">
        <f>IF(H721=0, 0, G721/H721)</f>
        <v/>
      </c>
      <c r="J721">
        <f>RANK(I721, I$2:I$1111, 0)</f>
        <v/>
      </c>
      <c r="K721">
        <f>SUM(C721)</f>
        <v/>
      </c>
      <c r="L721">
        <f>SUM(K721,D721)</f>
        <v/>
      </c>
      <c r="M721">
        <f>SUM(L721,E721,F721)</f>
        <v/>
      </c>
      <c r="N721">
        <f>IF(L721=0, -1, K721/L721)</f>
        <v/>
      </c>
      <c r="O721">
        <f>IF(M721=0, -1, K721/M721)</f>
        <v/>
      </c>
      <c r="P721">
        <f>IF(M721=0, -1, L721/M721)</f>
        <v/>
      </c>
    </row>
    <row r="722">
      <c r="A722" t="inlineStr">
        <is>
          <t>RC00411</t>
        </is>
      </c>
      <c r="B722" t="inlineStr">
        <is>
          <t>黄山学院</t>
        </is>
      </c>
      <c r="C722" t="n">
        <v>0</v>
      </c>
      <c r="D722" t="n">
        <v>0</v>
      </c>
      <c r="E722" t="n">
        <v>3</v>
      </c>
      <c r="F722" t="n">
        <v>10</v>
      </c>
      <c r="G722" t="n">
        <v>23104.09020287152</v>
      </c>
      <c r="H722" t="n">
        <v>64.31384110194519</v>
      </c>
      <c r="I722">
        <f>IF(H722=0, 0, G722/H722)</f>
        <v/>
      </c>
      <c r="J722">
        <f>RANK(I722, I$2:I$1111, 0)</f>
        <v/>
      </c>
      <c r="K722">
        <f>SUM(C722)</f>
        <v/>
      </c>
      <c r="L722">
        <f>SUM(K722,D722)</f>
        <v/>
      </c>
      <c r="M722">
        <f>SUM(L722,E722,F722)</f>
        <v/>
      </c>
      <c r="N722">
        <f>IF(L722=0, -1, K722/L722)</f>
        <v/>
      </c>
      <c r="O722">
        <f>IF(M722=0, -1, K722/M722)</f>
        <v/>
      </c>
      <c r="P722">
        <f>IF(M722=0, -1, L722/M722)</f>
        <v/>
      </c>
    </row>
    <row r="723">
      <c r="A723" t="inlineStr">
        <is>
          <t>RC00238</t>
        </is>
      </c>
      <c r="B723" t="inlineStr">
        <is>
          <t>赤峰学院</t>
        </is>
      </c>
      <c r="C723" t="n">
        <v>0</v>
      </c>
      <c r="D723" t="n">
        <v>0</v>
      </c>
      <c r="E723" t="n">
        <v>0</v>
      </c>
      <c r="F723" t="n">
        <v>7</v>
      </c>
      <c r="G723" t="n">
        <v>10773.14043362285</v>
      </c>
      <c r="H723" t="n">
        <v>33.06383212550965</v>
      </c>
      <c r="I723">
        <f>IF(H723=0, 0, G723/H723)</f>
        <v/>
      </c>
      <c r="J723">
        <f>RANK(I723, I$2:I$1111, 0)</f>
        <v/>
      </c>
      <c r="K723">
        <f>SUM(C723)</f>
        <v/>
      </c>
      <c r="L723">
        <f>SUM(K723,D723)</f>
        <v/>
      </c>
      <c r="M723">
        <f>SUM(L723,E723,F723)</f>
        <v/>
      </c>
      <c r="N723">
        <f>IF(L723=0, -1, K723/L723)</f>
        <v/>
      </c>
      <c r="O723">
        <f>IF(M723=0, -1, K723/M723)</f>
        <v/>
      </c>
      <c r="P723">
        <f>IF(M723=0, -1, L723/M723)</f>
        <v/>
      </c>
    </row>
    <row r="724">
      <c r="A724" t="inlineStr">
        <is>
          <t>RC00339</t>
        </is>
      </c>
      <c r="B724" t="inlineStr">
        <is>
          <t>上海体育大学</t>
        </is>
      </c>
      <c r="C724" t="n">
        <v>7</v>
      </c>
      <c r="D724" t="n">
        <v>2</v>
      </c>
      <c r="E724" t="n">
        <v>8</v>
      </c>
      <c r="F724" t="n">
        <v>3</v>
      </c>
      <c r="G724" t="n">
        <v>58290.58472131609</v>
      </c>
      <c r="H724" t="n">
        <v>86.8546586374415</v>
      </c>
      <c r="I724">
        <f>IF(H724=0, 0, G724/H724)</f>
        <v/>
      </c>
      <c r="J724">
        <f>RANK(I724, I$2:I$1111, 0)</f>
        <v/>
      </c>
      <c r="K724">
        <f>SUM(C724)</f>
        <v/>
      </c>
      <c r="L724">
        <f>SUM(K724,D724)</f>
        <v/>
      </c>
      <c r="M724">
        <f>SUM(L724,E724,F724)</f>
        <v/>
      </c>
      <c r="N724">
        <f>IF(L724=0, -1, K724/L724)</f>
        <v/>
      </c>
      <c r="O724">
        <f>IF(M724=0, -1, K724/M724)</f>
        <v/>
      </c>
      <c r="P724">
        <f>IF(M724=0, -1, L724/M724)</f>
        <v/>
      </c>
    </row>
    <row r="725">
      <c r="A725" t="inlineStr">
        <is>
          <t>RC00146</t>
        </is>
      </c>
      <c r="B725" t="inlineStr">
        <is>
          <t>北京体育大学</t>
        </is>
      </c>
      <c r="C725" t="n">
        <v>10</v>
      </c>
      <c r="D725" t="n">
        <v>2</v>
      </c>
      <c r="E725" t="n">
        <v>10</v>
      </c>
      <c r="F725" t="n">
        <v>1</v>
      </c>
      <c r="G725" t="n">
        <v>67606.49239428408</v>
      </c>
      <c r="H725" t="n">
        <v>96.5975110979559</v>
      </c>
      <c r="I725">
        <f>IF(H725=0, 0, G725/H725)</f>
        <v/>
      </c>
      <c r="J725">
        <f>RANK(I725, I$2:I$1111, 0)</f>
        <v/>
      </c>
      <c r="K725">
        <f>SUM(C725)</f>
        <v/>
      </c>
      <c r="L725">
        <f>SUM(K725,D725)</f>
        <v/>
      </c>
      <c r="M725">
        <f>SUM(L725,E725,F725)</f>
        <v/>
      </c>
      <c r="N725">
        <f>IF(L725=0, -1, K725/L725)</f>
        <v/>
      </c>
      <c r="O725">
        <f>IF(M725=0, -1, K725/M725)</f>
        <v/>
      </c>
      <c r="P725">
        <f>IF(M725=0, -1, L725/M725)</f>
        <v/>
      </c>
    </row>
    <row r="726">
      <c r="A726" t="inlineStr">
        <is>
          <t>RC00134</t>
        </is>
      </c>
      <c r="B726" t="inlineStr">
        <is>
          <t>首都体育学院</t>
        </is>
      </c>
      <c r="C726" t="n">
        <v>7</v>
      </c>
      <c r="D726" t="n">
        <v>3</v>
      </c>
      <c r="E726" t="n">
        <v>4</v>
      </c>
      <c r="F726" t="n">
        <v>1</v>
      </c>
      <c r="G726" t="n">
        <v>41696.10936391087</v>
      </c>
      <c r="H726" t="n">
        <v>54.9531268029351</v>
      </c>
      <c r="I726">
        <f>IF(H726=0, 0, G726/H726)</f>
        <v/>
      </c>
      <c r="J726">
        <f>RANK(I726, I$2:I$1111, 0)</f>
        <v/>
      </c>
      <c r="K726">
        <f>SUM(C726)</f>
        <v/>
      </c>
      <c r="L726">
        <f>SUM(K726,D726)</f>
        <v/>
      </c>
      <c r="M726">
        <f>SUM(L726,E726,F726)</f>
        <v/>
      </c>
      <c r="N726">
        <f>IF(L726=0, -1, K726/L726)</f>
        <v/>
      </c>
      <c r="O726">
        <f>IF(M726=0, -1, K726/M726)</f>
        <v/>
      </c>
      <c r="P726">
        <f>IF(M726=0, -1, L726/M726)</f>
        <v/>
      </c>
    </row>
    <row r="727">
      <c r="A727" t="inlineStr">
        <is>
          <t>RC00549</t>
        </is>
      </c>
      <c r="B727" t="inlineStr">
        <is>
          <t>武汉体育学院</t>
        </is>
      </c>
      <c r="C727" t="n">
        <v>3</v>
      </c>
      <c r="D727" t="n">
        <v>5</v>
      </c>
      <c r="E727" t="n">
        <v>3</v>
      </c>
      <c r="F727" t="n">
        <v>11</v>
      </c>
      <c r="G727" t="n">
        <v>48157.58304249148</v>
      </c>
      <c r="H727" t="n">
        <v>93.62901155590417</v>
      </c>
      <c r="I727">
        <f>IF(H727=0, 0, G727/H727)</f>
        <v/>
      </c>
      <c r="J727">
        <f>RANK(I727, I$2:I$1111, 0)</f>
        <v/>
      </c>
      <c r="K727">
        <f>SUM(C727)</f>
        <v/>
      </c>
      <c r="L727">
        <f>SUM(K727,D727)</f>
        <v/>
      </c>
      <c r="M727">
        <f>SUM(L727,E727,F727)</f>
        <v/>
      </c>
      <c r="N727">
        <f>IF(L727=0, -1, K727/L727)</f>
        <v/>
      </c>
      <c r="O727">
        <f>IF(M727=0, -1, K727/M727)</f>
        <v/>
      </c>
      <c r="P727">
        <f>IF(M727=0, -1, L727/M727)</f>
        <v/>
      </c>
    </row>
    <row r="728">
      <c r="A728" t="inlineStr">
        <is>
          <t>RC00677</t>
        </is>
      </c>
      <c r="B728" t="inlineStr">
        <is>
          <t>成都体育学院</t>
        </is>
      </c>
      <c r="C728" t="n">
        <v>0</v>
      </c>
      <c r="D728" t="n">
        <v>7</v>
      </c>
      <c r="E728" t="n">
        <v>3</v>
      </c>
      <c r="F728" t="n">
        <v>6</v>
      </c>
      <c r="G728" t="n">
        <v>42320.19900715024</v>
      </c>
      <c r="H728" t="n">
        <v>68.3087549848705</v>
      </c>
      <c r="I728">
        <f>IF(H728=0, 0, G728/H728)</f>
        <v/>
      </c>
      <c r="J728">
        <f>RANK(I728, I$2:I$1111, 0)</f>
        <v/>
      </c>
      <c r="K728">
        <f>SUM(C728)</f>
        <v/>
      </c>
      <c r="L728">
        <f>SUM(K728,D728)</f>
        <v/>
      </c>
      <c r="M728">
        <f>SUM(L728,E728,F728)</f>
        <v/>
      </c>
      <c r="N728">
        <f>IF(L728=0, -1, K728/L728)</f>
        <v/>
      </c>
      <c r="O728">
        <f>IF(M728=0, -1, K728/M728)</f>
        <v/>
      </c>
      <c r="P728">
        <f>IF(M728=0, -1, L728/M728)</f>
        <v/>
      </c>
    </row>
    <row r="729">
      <c r="A729" t="inlineStr">
        <is>
          <t>RC00358</t>
        </is>
      </c>
      <c r="B729" t="inlineStr">
        <is>
          <t>南京体育学院</t>
        </is>
      </c>
      <c r="C729" t="n">
        <v>0</v>
      </c>
      <c r="D729" t="n">
        <v>6</v>
      </c>
      <c r="E729" t="n">
        <v>3</v>
      </c>
      <c r="F729" t="n">
        <v>3</v>
      </c>
      <c r="G729" t="n">
        <v>31752.26576148364</v>
      </c>
      <c r="H729" t="n">
        <v>48.86312872943687</v>
      </c>
      <c r="I729">
        <f>IF(H729=0, 0, G729/H729)</f>
        <v/>
      </c>
      <c r="J729">
        <f>RANK(I729, I$2:I$1111, 0)</f>
        <v/>
      </c>
      <c r="K729">
        <f>SUM(C729)</f>
        <v/>
      </c>
      <c r="L729">
        <f>SUM(K729,D729)</f>
        <v/>
      </c>
      <c r="M729">
        <f>SUM(L729,E729,F729)</f>
        <v/>
      </c>
      <c r="N729">
        <f>IF(L729=0, -1, K729/L729)</f>
        <v/>
      </c>
      <c r="O729">
        <f>IF(M729=0, -1, K729/M729)</f>
        <v/>
      </c>
      <c r="P729">
        <f>IF(M729=0, -1, L729/M729)</f>
        <v/>
      </c>
    </row>
    <row r="730">
      <c r="A730" t="inlineStr">
        <is>
          <t>RC00270</t>
        </is>
      </c>
      <c r="B730" t="inlineStr">
        <is>
          <t>沈阳体育学院</t>
        </is>
      </c>
      <c r="C730" t="n">
        <v>0</v>
      </c>
      <c r="D730" t="n">
        <v>5</v>
      </c>
      <c r="E730" t="n">
        <v>3</v>
      </c>
      <c r="F730" t="n">
        <v>5</v>
      </c>
      <c r="G730" t="n">
        <v>31621.62418529472</v>
      </c>
      <c r="H730" t="n">
        <v>54.90934693211108</v>
      </c>
      <c r="I730">
        <f>IF(H730=0, 0, G730/H730)</f>
        <v/>
      </c>
      <c r="J730">
        <f>RANK(I730, I$2:I$1111, 0)</f>
        <v/>
      </c>
      <c r="K730">
        <f>SUM(C730)</f>
        <v/>
      </c>
      <c r="L730">
        <f>SUM(K730,D730)</f>
        <v/>
      </c>
      <c r="M730">
        <f>SUM(L730,E730,F730)</f>
        <v/>
      </c>
      <c r="N730">
        <f>IF(L730=0, -1, K730/L730)</f>
        <v/>
      </c>
      <c r="O730">
        <f>IF(M730=0, -1, K730/M730)</f>
        <v/>
      </c>
      <c r="P730">
        <f>IF(M730=0, -1, L730/M730)</f>
        <v/>
      </c>
    </row>
    <row r="731">
      <c r="A731" t="inlineStr">
        <is>
          <t>RC00743</t>
        </is>
      </c>
      <c r="B731" t="inlineStr">
        <is>
          <t>西安体育学院</t>
        </is>
      </c>
      <c r="C731" t="n">
        <v>0</v>
      </c>
      <c r="D731" t="n">
        <v>4</v>
      </c>
      <c r="E731" t="n">
        <v>4</v>
      </c>
      <c r="F731" t="n">
        <v>7</v>
      </c>
      <c r="G731" t="n">
        <v>32296.39323771623</v>
      </c>
      <c r="H731" t="n">
        <v>60.70807270669601</v>
      </c>
      <c r="I731">
        <f>IF(H731=0, 0, G731/H731)</f>
        <v/>
      </c>
      <c r="J731">
        <f>RANK(I731, I$2:I$1111, 0)</f>
        <v/>
      </c>
      <c r="K731">
        <f>SUM(C731)</f>
        <v/>
      </c>
      <c r="L731">
        <f>SUM(K731,D731)</f>
        <v/>
      </c>
      <c r="M731">
        <f>SUM(L731,E731,F731)</f>
        <v/>
      </c>
      <c r="N731">
        <f>IF(L731=0, -1, K731/L731)</f>
        <v/>
      </c>
      <c r="O731">
        <f>IF(M731=0, -1, K731/M731)</f>
        <v/>
      </c>
      <c r="P731">
        <f>IF(M731=0, -1, L731/M731)</f>
        <v/>
      </c>
    </row>
    <row r="732">
      <c r="A732" t="inlineStr">
        <is>
          <t>RC00488</t>
        </is>
      </c>
      <c r="B732" t="inlineStr">
        <is>
          <t>山东体育学院</t>
        </is>
      </c>
      <c r="C732" t="n">
        <v>1</v>
      </c>
      <c r="D732" t="n">
        <v>5</v>
      </c>
      <c r="E732" t="n">
        <v>5</v>
      </c>
      <c r="F732" t="n">
        <v>1</v>
      </c>
      <c r="G732" t="n">
        <v>29114.54169221895</v>
      </c>
      <c r="H732" t="n">
        <v>45.49891907268017</v>
      </c>
      <c r="I732">
        <f>IF(H732=0, 0, G732/H732)</f>
        <v/>
      </c>
      <c r="J732">
        <f>RANK(I732, I$2:I$1111, 0)</f>
        <v/>
      </c>
      <c r="K732">
        <f>SUM(C732)</f>
        <v/>
      </c>
      <c r="L732">
        <f>SUM(K732,D732)</f>
        <v/>
      </c>
      <c r="M732">
        <f>SUM(L732,E732,F732)</f>
        <v/>
      </c>
      <c r="N732">
        <f>IF(L732=0, -1, K732/L732)</f>
        <v/>
      </c>
      <c r="O732">
        <f>IF(M732=0, -1, K732/M732)</f>
        <v/>
      </c>
      <c r="P732">
        <f>IF(M732=0, -1, L732/M732)</f>
        <v/>
      </c>
    </row>
    <row r="733">
      <c r="A733" t="inlineStr">
        <is>
          <t>RC00296</t>
        </is>
      </c>
      <c r="B733" t="inlineStr">
        <is>
          <t>吉林体育学院</t>
        </is>
      </c>
      <c r="C733" t="n">
        <v>0</v>
      </c>
      <c r="D733" t="n">
        <v>3</v>
      </c>
      <c r="E733" t="n">
        <v>5</v>
      </c>
      <c r="F733" t="n">
        <v>3</v>
      </c>
      <c r="G733" t="n">
        <v>25647.25532336227</v>
      </c>
      <c r="H733" t="n">
        <v>45.46592127163084</v>
      </c>
      <c r="I733">
        <f>IF(H733=0, 0, G733/H733)</f>
        <v/>
      </c>
      <c r="J733">
        <f>RANK(I733, I$2:I$1111, 0)</f>
        <v/>
      </c>
      <c r="K733">
        <f>SUM(C733)</f>
        <v/>
      </c>
      <c r="L733">
        <f>SUM(K733,D733)</f>
        <v/>
      </c>
      <c r="M733">
        <f>SUM(L733,E733,F733)</f>
        <v/>
      </c>
      <c r="N733">
        <f>IF(L733=0, -1, K733/L733)</f>
        <v/>
      </c>
      <c r="O733">
        <f>IF(M733=0, -1, K733/M733)</f>
        <v/>
      </c>
      <c r="P733">
        <f>IF(M733=0, -1, L733/M733)</f>
        <v/>
      </c>
    </row>
    <row r="734">
      <c r="A734" t="inlineStr">
        <is>
          <t>RC00175</t>
        </is>
      </c>
      <c r="B734" t="inlineStr">
        <is>
          <t>天津体育学院</t>
        </is>
      </c>
      <c r="C734" t="n">
        <v>1</v>
      </c>
      <c r="D734" t="n">
        <v>3</v>
      </c>
      <c r="E734" t="n">
        <v>4</v>
      </c>
      <c r="F734" t="n">
        <v>8</v>
      </c>
      <c r="G734" t="n">
        <v>33620.74063554667</v>
      </c>
      <c r="H734" t="n">
        <v>69.57149430498409</v>
      </c>
      <c r="I734">
        <f>IF(H734=0, 0, G734/H734)</f>
        <v/>
      </c>
      <c r="J734">
        <f>RANK(I734, I$2:I$1111, 0)</f>
        <v/>
      </c>
      <c r="K734">
        <f>SUM(C734)</f>
        <v/>
      </c>
      <c r="L734">
        <f>SUM(K734,D734)</f>
        <v/>
      </c>
      <c r="M734">
        <f>SUM(L734,E734,F734)</f>
        <v/>
      </c>
      <c r="N734">
        <f>IF(L734=0, -1, K734/L734)</f>
        <v/>
      </c>
      <c r="O734">
        <f>IF(M734=0, -1, K734/M734)</f>
        <v/>
      </c>
      <c r="P734">
        <f>IF(M734=0, -1, L734/M734)</f>
        <v/>
      </c>
    </row>
    <row r="735">
      <c r="A735" t="inlineStr">
        <is>
          <t>RC00321</t>
        </is>
      </c>
      <c r="B735" t="inlineStr">
        <is>
          <t>哈尔滨体育学院</t>
        </is>
      </c>
      <c r="C735" t="n">
        <v>0</v>
      </c>
      <c r="D735" t="n">
        <v>0</v>
      </c>
      <c r="E735" t="n">
        <v>5</v>
      </c>
      <c r="F735" t="n">
        <v>2</v>
      </c>
      <c r="G735" t="n">
        <v>12677.49224782001</v>
      </c>
      <c r="H735" t="n">
        <v>28.95799001945259</v>
      </c>
      <c r="I735">
        <f>IF(H735=0, 0, G735/H735)</f>
        <v/>
      </c>
      <c r="J735">
        <f>RANK(I735, I$2:I$1111, 0)</f>
        <v/>
      </c>
      <c r="K735">
        <f>SUM(C735)</f>
        <v/>
      </c>
      <c r="L735">
        <f>SUM(K735,D735)</f>
        <v/>
      </c>
      <c r="M735">
        <f>SUM(L735,E735,F735)</f>
        <v/>
      </c>
      <c r="N735">
        <f>IF(L735=0, -1, K735/L735)</f>
        <v/>
      </c>
      <c r="O735">
        <f>IF(M735=0, -1, K735/M735)</f>
        <v/>
      </c>
      <c r="P735">
        <f>IF(M735=0, -1, L735/M735)</f>
        <v/>
      </c>
    </row>
    <row r="736">
      <c r="A736" t="inlineStr">
        <is>
          <t>RC00729</t>
        </is>
      </c>
      <c r="B736" t="inlineStr">
        <is>
          <t>西安工业大学</t>
        </is>
      </c>
      <c r="C736" t="n">
        <v>0</v>
      </c>
      <c r="D736" t="n">
        <v>2</v>
      </c>
      <c r="E736" t="n">
        <v>33</v>
      </c>
      <c r="F736" t="n">
        <v>9</v>
      </c>
      <c r="G736" t="n">
        <v>108099.2865483285</v>
      </c>
      <c r="H736" t="n">
        <v>224.162269647688</v>
      </c>
      <c r="I736">
        <f>IF(H736=0, 0, G736/H736)</f>
        <v/>
      </c>
      <c r="J736">
        <f>RANK(I736, I$2:I$1111, 0)</f>
        <v/>
      </c>
      <c r="K736">
        <f>SUM(C736)</f>
        <v/>
      </c>
      <c r="L736">
        <f>SUM(K736,D736)</f>
        <v/>
      </c>
      <c r="M736">
        <f>SUM(L736,E736,F736)</f>
        <v/>
      </c>
      <c r="N736">
        <f>IF(L736=0, -1, K736/L736)</f>
        <v/>
      </c>
      <c r="O736">
        <f>IF(M736=0, -1, K736/M736)</f>
        <v/>
      </c>
      <c r="P736">
        <f>IF(M736=0, -1, L736/M736)</f>
        <v/>
      </c>
    </row>
    <row r="737">
      <c r="A737" t="inlineStr">
        <is>
          <t>RC00516</t>
        </is>
      </c>
      <c r="B737" t="inlineStr">
        <is>
          <t>周口师范学院</t>
        </is>
      </c>
      <c r="C737" t="n">
        <v>0</v>
      </c>
      <c r="D737" t="n">
        <v>0</v>
      </c>
      <c r="E737" t="n">
        <v>2</v>
      </c>
      <c r="F737" t="n">
        <v>7</v>
      </c>
      <c r="G737" t="n">
        <v>15422.87721170275</v>
      </c>
      <c r="H737" t="n">
        <v>45.7403414700119</v>
      </c>
      <c r="I737">
        <f>IF(H737=0, 0, G737/H737)</f>
        <v/>
      </c>
      <c r="J737">
        <f>RANK(I737, I$2:I$1111, 0)</f>
        <v/>
      </c>
      <c r="K737">
        <f>SUM(C737)</f>
        <v/>
      </c>
      <c r="L737">
        <f>SUM(K737,D737)</f>
        <v/>
      </c>
      <c r="M737">
        <f>SUM(L737,E737,F737)</f>
        <v/>
      </c>
      <c r="N737">
        <f>IF(L737=0, -1, K737/L737)</f>
        <v/>
      </c>
      <c r="O737">
        <f>IF(M737=0, -1, K737/M737)</f>
        <v/>
      </c>
      <c r="P737">
        <f>IF(M737=0, -1, L737/M737)</f>
        <v/>
      </c>
    </row>
    <row r="738">
      <c r="A738" t="inlineStr">
        <is>
          <t>RC00723</t>
        </is>
      </c>
      <c r="B738" t="inlineStr">
        <is>
          <t>文山学院</t>
        </is>
      </c>
      <c r="C738" t="n">
        <v>0</v>
      </c>
      <c r="D738" t="n">
        <v>0</v>
      </c>
      <c r="E738" t="n">
        <v>0</v>
      </c>
      <c r="F738" t="n">
        <v>5</v>
      </c>
      <c r="G738" t="n">
        <v>9107.767793219373</v>
      </c>
      <c r="H738" t="n">
        <v>26.08986767460509</v>
      </c>
      <c r="I738">
        <f>IF(H738=0, 0, G738/H738)</f>
        <v/>
      </c>
      <c r="J738">
        <f>RANK(I738, I$2:I$1111, 0)</f>
        <v/>
      </c>
      <c r="K738">
        <f>SUM(C738)</f>
        <v/>
      </c>
      <c r="L738">
        <f>SUM(K738,D738)</f>
        <v/>
      </c>
      <c r="M738">
        <f>SUM(L738,E738,F738)</f>
        <v/>
      </c>
      <c r="N738">
        <f>IF(L738=0, -1, K738/L738)</f>
        <v/>
      </c>
      <c r="O738">
        <f>IF(M738=0, -1, K738/M738)</f>
        <v/>
      </c>
      <c r="P738">
        <f>IF(M738=0, -1, L738/M738)</f>
        <v/>
      </c>
    </row>
    <row r="739">
      <c r="A739" t="inlineStr">
        <is>
          <t>RC00204</t>
        </is>
      </c>
      <c r="B739" t="inlineStr">
        <is>
          <t>河北体育学院</t>
        </is>
      </c>
      <c r="C739" t="n">
        <v>0</v>
      </c>
      <c r="D739" t="n">
        <v>0</v>
      </c>
      <c r="E739" t="n">
        <v>1</v>
      </c>
      <c r="F739" t="n">
        <v>4</v>
      </c>
      <c r="G739" t="n">
        <v>6067.342672277193</v>
      </c>
      <c r="H739" t="n">
        <v>20.96199490072031</v>
      </c>
      <c r="I739">
        <f>IF(H739=0, 0, G739/H739)</f>
        <v/>
      </c>
      <c r="J739">
        <f>RANK(I739, I$2:I$1111, 0)</f>
        <v/>
      </c>
      <c r="K739">
        <f>SUM(C739)</f>
        <v/>
      </c>
      <c r="L739">
        <f>SUM(K739,D739)</f>
        <v/>
      </c>
      <c r="M739">
        <f>SUM(L739,E739,F739)</f>
        <v/>
      </c>
      <c r="N739">
        <f>IF(L739=0, -1, K739/L739)</f>
        <v/>
      </c>
      <c r="O739">
        <f>IF(M739=0, -1, K739/M739)</f>
        <v/>
      </c>
      <c r="P739">
        <f>IF(M739=0, -1, L739/M739)</f>
        <v/>
      </c>
    </row>
    <row r="740">
      <c r="A740" t="inlineStr">
        <is>
          <t>RC00688</t>
        </is>
      </c>
      <c r="B740" t="inlineStr">
        <is>
          <t>贵州医科大学</t>
        </is>
      </c>
      <c r="C740" t="n">
        <v>1</v>
      </c>
      <c r="D740" t="n">
        <v>0</v>
      </c>
      <c r="E740" t="n">
        <v>11</v>
      </c>
      <c r="F740" t="n">
        <v>20</v>
      </c>
      <c r="G740" t="n">
        <v>61047.64982073839</v>
      </c>
      <c r="H740" t="n">
        <v>131.0764763327106</v>
      </c>
      <c r="I740">
        <f>IF(H740=0, 0, G740/H740)</f>
        <v/>
      </c>
      <c r="J740">
        <f>RANK(I740, I$2:I$1111, 0)</f>
        <v/>
      </c>
      <c r="K740">
        <f>SUM(C740)</f>
        <v/>
      </c>
      <c r="L740">
        <f>SUM(K740,D740)</f>
        <v/>
      </c>
      <c r="M740">
        <f>SUM(L740,E740,F740)</f>
        <v/>
      </c>
      <c r="N740">
        <f>IF(L740=0, -1, K740/L740)</f>
        <v/>
      </c>
      <c r="O740">
        <f>IF(M740=0, -1, K740/M740)</f>
        <v/>
      </c>
      <c r="P740">
        <f>IF(M740=0, -1, L740/M740)</f>
        <v/>
      </c>
    </row>
    <row r="741">
      <c r="A741" t="inlineStr">
        <is>
          <t>RC00689</t>
        </is>
      </c>
      <c r="B741" t="inlineStr">
        <is>
          <t>遵义医科大学</t>
        </is>
      </c>
      <c r="C741" t="n">
        <v>0</v>
      </c>
      <c r="D741" t="n">
        <v>1</v>
      </c>
      <c r="E741" t="n">
        <v>13</v>
      </c>
      <c r="F741" t="n">
        <v>10</v>
      </c>
      <c r="G741" t="n">
        <v>50582.32981341275</v>
      </c>
      <c r="H741" t="n">
        <v>103.3346938262284</v>
      </c>
      <c r="I741">
        <f>IF(H741=0, 0, G741/H741)</f>
        <v/>
      </c>
      <c r="J741">
        <f>RANK(I741, I$2:I$1111, 0)</f>
        <v/>
      </c>
      <c r="K741">
        <f>SUM(C741)</f>
        <v/>
      </c>
      <c r="L741">
        <f>SUM(K741,D741)</f>
        <v/>
      </c>
      <c r="M741">
        <f>SUM(L741,E741,F741)</f>
        <v/>
      </c>
      <c r="N741">
        <f>IF(L741=0, -1, K741/L741)</f>
        <v/>
      </c>
      <c r="O741">
        <f>IF(M741=0, -1, K741/M741)</f>
        <v/>
      </c>
      <c r="P741">
        <f>IF(M741=0, -1, L741/M741)</f>
        <v/>
      </c>
    </row>
    <row r="742">
      <c r="A742" t="inlineStr">
        <is>
          <t>RC00915</t>
        </is>
      </c>
      <c r="B742" t="inlineStr">
        <is>
          <t>湖南涉外经济学院</t>
        </is>
      </c>
      <c r="C742" t="n">
        <v>0</v>
      </c>
      <c r="D742" t="n">
        <v>0</v>
      </c>
      <c r="E742" t="n">
        <v>0</v>
      </c>
      <c r="F742" t="n">
        <v>4</v>
      </c>
      <c r="G742" t="n">
        <v>6199.540769337565</v>
      </c>
      <c r="H742" t="n">
        <v>21.18056387214754</v>
      </c>
      <c r="I742">
        <f>IF(H742=0, 0, G742/H742)</f>
        <v/>
      </c>
      <c r="J742">
        <f>RANK(I742, I$2:I$1111, 0)</f>
        <v/>
      </c>
      <c r="K742">
        <f>SUM(C742)</f>
        <v/>
      </c>
      <c r="L742">
        <f>SUM(K742,D742)</f>
        <v/>
      </c>
      <c r="M742">
        <f>SUM(L742,E742,F742)</f>
        <v/>
      </c>
      <c r="N742">
        <f>IF(L742=0, -1, K742/L742)</f>
        <v/>
      </c>
      <c r="O742">
        <f>IF(M742=0, -1, K742/M742)</f>
        <v/>
      </c>
      <c r="P742">
        <f>IF(M742=0, -1, L742/M742)</f>
        <v/>
      </c>
    </row>
    <row r="743">
      <c r="A743" t="inlineStr">
        <is>
          <t>RC00475</t>
        </is>
      </c>
      <c r="B743" t="inlineStr">
        <is>
          <t>山东中医药大学</t>
        </is>
      </c>
      <c r="C743" t="n">
        <v>1</v>
      </c>
      <c r="D743" t="n">
        <v>0</v>
      </c>
      <c r="E743" t="n">
        <v>13</v>
      </c>
      <c r="F743" t="n">
        <v>14</v>
      </c>
      <c r="G743" t="n">
        <v>55566.33597343779</v>
      </c>
      <c r="H743" t="n">
        <v>118.6168798182722</v>
      </c>
      <c r="I743">
        <f>IF(H743=0, 0, G743/H743)</f>
        <v/>
      </c>
      <c r="J743">
        <f>RANK(I743, I$2:I$1111, 0)</f>
        <v/>
      </c>
      <c r="K743">
        <f>SUM(C743)</f>
        <v/>
      </c>
      <c r="L743">
        <f>SUM(K743,D743)</f>
        <v/>
      </c>
      <c r="M743">
        <f>SUM(L743,E743,F743)</f>
        <v/>
      </c>
      <c r="N743">
        <f>IF(L743=0, -1, K743/L743)</f>
        <v/>
      </c>
      <c r="O743">
        <f>IF(M743=0, -1, K743/M743)</f>
        <v/>
      </c>
      <c r="P743">
        <f>IF(M743=0, -1, L743/M743)</f>
        <v/>
      </c>
    </row>
    <row r="744">
      <c r="A744" t="inlineStr">
        <is>
          <t>RC00584</t>
        </is>
      </c>
      <c r="B744" t="inlineStr">
        <is>
          <t>湖南城市学院</t>
        </is>
      </c>
      <c r="C744" t="n">
        <v>0</v>
      </c>
      <c r="D744" t="n">
        <v>0</v>
      </c>
      <c r="E744" t="n">
        <v>5</v>
      </c>
      <c r="F744" t="n">
        <v>22</v>
      </c>
      <c r="G744" t="n">
        <v>46374.03900697018</v>
      </c>
      <c r="H744" t="n">
        <v>142.2817682346293</v>
      </c>
      <c r="I744">
        <f>IF(H744=0, 0, G744/H744)</f>
        <v/>
      </c>
      <c r="J744">
        <f>RANK(I744, I$2:I$1111, 0)</f>
        <v/>
      </c>
      <c r="K744">
        <f>SUM(C744)</f>
        <v/>
      </c>
      <c r="L744">
        <f>SUM(K744,D744)</f>
        <v/>
      </c>
      <c r="M744">
        <f>SUM(L744,E744,F744)</f>
        <v/>
      </c>
      <c r="N744">
        <f>IF(L744=0, -1, K744/L744)</f>
        <v/>
      </c>
      <c r="O744">
        <f>IF(M744=0, -1, K744/M744)</f>
        <v/>
      </c>
      <c r="P744">
        <f>IF(M744=0, -1, L744/M744)</f>
        <v/>
      </c>
    </row>
    <row r="745">
      <c r="A745" t="inlineStr">
        <is>
          <t>RC00524</t>
        </is>
      </c>
      <c r="B745" t="inlineStr">
        <is>
          <t>黄淮学院</t>
        </is>
      </c>
      <c r="C745" t="n">
        <v>0</v>
      </c>
      <c r="D745" t="n">
        <v>0</v>
      </c>
      <c r="E745" t="n">
        <v>2</v>
      </c>
      <c r="F745" t="n">
        <v>9</v>
      </c>
      <c r="G745" t="n">
        <v>18092.01728283587</v>
      </c>
      <c r="H745" t="n">
        <v>54.37891341329078</v>
      </c>
      <c r="I745">
        <f>IF(H745=0, 0, G745/H745)</f>
        <v/>
      </c>
      <c r="J745">
        <f>RANK(I745, I$2:I$1111, 0)</f>
        <v/>
      </c>
      <c r="K745">
        <f>SUM(C745)</f>
        <v/>
      </c>
      <c r="L745">
        <f>SUM(K745,D745)</f>
        <v/>
      </c>
      <c r="M745">
        <f>SUM(L745,E745,F745)</f>
        <v/>
      </c>
      <c r="N745">
        <f>IF(L745=0, -1, K745/L745)</f>
        <v/>
      </c>
      <c r="O745">
        <f>IF(M745=0, -1, K745/M745)</f>
        <v/>
      </c>
      <c r="P745">
        <f>IF(M745=0, -1, L745/M745)</f>
        <v/>
      </c>
    </row>
    <row r="746">
      <c r="A746" t="inlineStr">
        <is>
          <t>RC01164</t>
        </is>
      </c>
      <c r="B746" t="inlineStr">
        <is>
          <t>广州应用科技学院</t>
        </is>
      </c>
      <c r="C746" t="n">
        <v>0</v>
      </c>
      <c r="D746" t="n">
        <v>0</v>
      </c>
      <c r="E746" t="n">
        <v>0</v>
      </c>
      <c r="F746" t="n">
        <v>1</v>
      </c>
      <c r="G746" t="n">
        <v>1255.39229538537</v>
      </c>
      <c r="H746" t="n">
        <v>4.976733742420574</v>
      </c>
      <c r="I746">
        <f>IF(H746=0, 0, G746/H746)</f>
        <v/>
      </c>
      <c r="J746">
        <f>RANK(I746, I$2:I$1111, 0)</f>
        <v/>
      </c>
      <c r="K746">
        <f>SUM(C746)</f>
        <v/>
      </c>
      <c r="L746">
        <f>SUM(K746,D746)</f>
        <v/>
      </c>
      <c r="M746">
        <f>SUM(L746,E746,F746)</f>
        <v/>
      </c>
      <c r="N746">
        <f>IF(L746=0, -1, K746/L746)</f>
        <v/>
      </c>
      <c r="O746">
        <f>IF(M746=0, -1, K746/M746)</f>
        <v/>
      </c>
      <c r="P746">
        <f>IF(M746=0, -1, L746/M746)</f>
        <v/>
      </c>
    </row>
    <row r="747">
      <c r="A747" t="inlineStr">
        <is>
          <t>RC00169</t>
        </is>
      </c>
      <c r="B747" t="inlineStr">
        <is>
          <t>天津中医药大学</t>
        </is>
      </c>
      <c r="C747" t="n">
        <v>2</v>
      </c>
      <c r="D747" t="n">
        <v>4</v>
      </c>
      <c r="E747" t="n">
        <v>17</v>
      </c>
      <c r="F747" t="n">
        <v>6</v>
      </c>
      <c r="G747" t="n">
        <v>69095.29564019703</v>
      </c>
      <c r="H747" t="n">
        <v>116.0613946227549</v>
      </c>
      <c r="I747">
        <f>IF(H747=0, 0, G747/H747)</f>
        <v/>
      </c>
      <c r="J747">
        <f>RANK(I747, I$2:I$1111, 0)</f>
        <v/>
      </c>
      <c r="K747">
        <f>SUM(C747)</f>
        <v/>
      </c>
      <c r="L747">
        <f>SUM(K747,D747)</f>
        <v/>
      </c>
      <c r="M747">
        <f>SUM(L747,E747,F747)</f>
        <v/>
      </c>
      <c r="N747">
        <f>IF(L747=0, -1, K747/L747)</f>
        <v/>
      </c>
      <c r="O747">
        <f>IF(M747=0, -1, K747/M747)</f>
        <v/>
      </c>
      <c r="P747">
        <f>IF(M747=0, -1, L747/M747)</f>
        <v/>
      </c>
    </row>
    <row r="748">
      <c r="A748" t="inlineStr">
        <is>
          <t>RC00250</t>
        </is>
      </c>
      <c r="B748" t="inlineStr">
        <is>
          <t>辽宁石油化工大学</t>
        </is>
      </c>
      <c r="C748" t="n">
        <v>0</v>
      </c>
      <c r="D748" t="n">
        <v>0</v>
      </c>
      <c r="E748" t="n">
        <v>11</v>
      </c>
      <c r="F748" t="n">
        <v>25</v>
      </c>
      <c r="G748" t="n">
        <v>65498.86720182661</v>
      </c>
      <c r="H748" t="n">
        <v>173.782571004186</v>
      </c>
      <c r="I748">
        <f>IF(H748=0, 0, G748/H748)</f>
        <v/>
      </c>
      <c r="J748">
        <f>RANK(I748, I$2:I$1111, 0)</f>
        <v/>
      </c>
      <c r="K748">
        <f>SUM(C748)</f>
        <v/>
      </c>
      <c r="L748">
        <f>SUM(K748,D748)</f>
        <v/>
      </c>
      <c r="M748">
        <f>SUM(L748,E748,F748)</f>
        <v/>
      </c>
      <c r="N748">
        <f>IF(L748=0, -1, K748/L748)</f>
        <v/>
      </c>
      <c r="O748">
        <f>IF(M748=0, -1, K748/M748)</f>
        <v/>
      </c>
      <c r="P748">
        <f>IF(M748=0, -1, L748/M748)</f>
        <v/>
      </c>
    </row>
    <row r="749">
      <c r="A749" t="inlineStr">
        <is>
          <t>RC00668</t>
        </is>
      </c>
      <c r="B749" t="inlineStr">
        <is>
          <t>成都中医药大学</t>
        </is>
      </c>
      <c r="C749" t="n">
        <v>3</v>
      </c>
      <c r="D749" t="n">
        <v>4</v>
      </c>
      <c r="E749" t="n">
        <v>20</v>
      </c>
      <c r="F749" t="n">
        <v>7</v>
      </c>
      <c r="G749" t="n">
        <v>77015.42248372348</v>
      </c>
      <c r="H749" t="n">
        <v>134.0831761159283</v>
      </c>
      <c r="I749">
        <f>IF(H749=0, 0, G749/H749)</f>
        <v/>
      </c>
      <c r="J749">
        <f>RANK(I749, I$2:I$1111, 0)</f>
        <v/>
      </c>
      <c r="K749">
        <f>SUM(C749)</f>
        <v/>
      </c>
      <c r="L749">
        <f>SUM(K749,D749)</f>
        <v/>
      </c>
      <c r="M749">
        <f>SUM(L749,E749,F749)</f>
        <v/>
      </c>
      <c r="N749">
        <f>IF(L749=0, -1, K749/L749)</f>
        <v/>
      </c>
      <c r="O749">
        <f>IF(M749=0, -1, K749/M749)</f>
        <v/>
      </c>
      <c r="P749">
        <f>IF(M749=0, -1, L749/M749)</f>
        <v/>
      </c>
    </row>
    <row r="750">
      <c r="A750" t="inlineStr">
        <is>
          <t>RC00975</t>
        </is>
      </c>
      <c r="B750" t="inlineStr">
        <is>
          <t>华北理工大学轻工学院</t>
        </is>
      </c>
      <c r="C750" t="n">
        <v>0</v>
      </c>
      <c r="D750" t="n">
        <v>0</v>
      </c>
      <c r="E750" t="n">
        <v>0</v>
      </c>
      <c r="F750" t="n">
        <v>2</v>
      </c>
      <c r="G750" t="n">
        <v>2345.550650930804</v>
      </c>
      <c r="H750" t="n">
        <v>10.97567030436726</v>
      </c>
      <c r="I750">
        <f>IF(H750=0, 0, G750/H750)</f>
        <v/>
      </c>
      <c r="J750">
        <f>RANK(I750, I$2:I$1111, 0)</f>
        <v/>
      </c>
      <c r="K750">
        <f>SUM(C750)</f>
        <v/>
      </c>
      <c r="L750">
        <f>SUM(K750,D750)</f>
        <v/>
      </c>
      <c r="M750">
        <f>SUM(L750,E750,F750)</f>
        <v/>
      </c>
      <c r="N750">
        <f>IF(L750=0, -1, K750/L750)</f>
        <v/>
      </c>
      <c r="O750">
        <f>IF(M750=0, -1, K750/M750)</f>
        <v/>
      </c>
      <c r="P750">
        <f>IF(M750=0, -1, L750/M750)</f>
        <v/>
      </c>
    </row>
    <row r="751">
      <c r="A751" t="inlineStr">
        <is>
          <t>RC00838</t>
        </is>
      </c>
      <c r="B751" t="inlineStr">
        <is>
          <t>辽宁财贸学院</t>
        </is>
      </c>
      <c r="C751" t="n">
        <v>0</v>
      </c>
      <c r="D751" t="n">
        <v>0</v>
      </c>
      <c r="E751" t="n">
        <v>0</v>
      </c>
      <c r="F751" t="n">
        <v>1</v>
      </c>
      <c r="G751" t="n">
        <v>926.5990751653923</v>
      </c>
      <c r="H751" t="n">
        <v>4.976733742420574</v>
      </c>
      <c r="I751">
        <f>IF(H751=0, 0, G751/H751)</f>
        <v/>
      </c>
      <c r="J751">
        <f>RANK(I751, I$2:I$1111, 0)</f>
        <v/>
      </c>
      <c r="K751">
        <f>SUM(C751)</f>
        <v/>
      </c>
      <c r="L751">
        <f>SUM(K751,D751)</f>
        <v/>
      </c>
      <c r="M751">
        <f>SUM(L751,E751,F751)</f>
        <v/>
      </c>
      <c r="N751">
        <f>IF(L751=0, -1, K751/L751)</f>
        <v/>
      </c>
      <c r="O751">
        <f>IF(M751=0, -1, K751/M751)</f>
        <v/>
      </c>
      <c r="P751">
        <f>IF(M751=0, -1, L751/M751)</f>
        <v/>
      </c>
    </row>
    <row r="752">
      <c r="A752" t="inlineStr">
        <is>
          <t>RC00825</t>
        </is>
      </c>
      <c r="B752" t="inlineStr">
        <is>
          <t>燕京理工学院</t>
        </is>
      </c>
      <c r="C752" t="n">
        <v>0</v>
      </c>
      <c r="D752" t="n">
        <v>0</v>
      </c>
      <c r="E752" t="n">
        <v>2</v>
      </c>
      <c r="F752" t="n">
        <v>11</v>
      </c>
      <c r="G752" t="n">
        <v>17240.92083579027</v>
      </c>
      <c r="H752" t="n">
        <v>57.55535422211805</v>
      </c>
      <c r="I752">
        <f>IF(H752=0, 0, G752/H752)</f>
        <v/>
      </c>
      <c r="J752">
        <f>RANK(I752, I$2:I$1111, 0)</f>
        <v/>
      </c>
      <c r="K752">
        <f>SUM(C752)</f>
        <v/>
      </c>
      <c r="L752">
        <f>SUM(K752,D752)</f>
        <v/>
      </c>
      <c r="M752">
        <f>SUM(L752,E752,F752)</f>
        <v/>
      </c>
      <c r="N752">
        <f>IF(L752=0, -1, K752/L752)</f>
        <v/>
      </c>
      <c r="O752">
        <f>IF(M752=0, -1, K752/M752)</f>
        <v/>
      </c>
      <c r="P752">
        <f>IF(M752=0, -1, L752/M752)</f>
        <v/>
      </c>
    </row>
    <row r="753">
      <c r="A753" t="inlineStr">
        <is>
          <t>RC00404</t>
        </is>
      </c>
      <c r="B753" t="inlineStr">
        <is>
          <t>蚌埠医科大学</t>
        </is>
      </c>
      <c r="C753" t="n">
        <v>0</v>
      </c>
      <c r="D753" t="n">
        <v>0</v>
      </c>
      <c r="E753" t="n">
        <v>7</v>
      </c>
      <c r="F753" t="n">
        <v>15</v>
      </c>
      <c r="G753" t="n">
        <v>41361.20213578072</v>
      </c>
      <c r="H753" t="n">
        <v>93.2575471784842</v>
      </c>
      <c r="I753">
        <f>IF(H753=0, 0, G753/H753)</f>
        <v/>
      </c>
      <c r="J753">
        <f>RANK(I753, I$2:I$1111, 0)</f>
        <v/>
      </c>
      <c r="K753">
        <f>SUM(C753)</f>
        <v/>
      </c>
      <c r="L753">
        <f>SUM(K753,D753)</f>
        <v/>
      </c>
      <c r="M753">
        <f>SUM(L753,E753,F753)</f>
        <v/>
      </c>
      <c r="N753">
        <f>IF(L753=0, -1, K753/L753)</f>
        <v/>
      </c>
      <c r="O753">
        <f>IF(M753=0, -1, K753/M753)</f>
        <v/>
      </c>
      <c r="P753">
        <f>IF(M753=0, -1, L753/M753)</f>
        <v/>
      </c>
    </row>
    <row r="754">
      <c r="A754" t="inlineStr">
        <is>
          <t>RC00077</t>
        </is>
      </c>
      <c r="B754" t="inlineStr">
        <is>
          <t>温州医科大学</t>
        </is>
      </c>
      <c r="C754" t="n">
        <v>1</v>
      </c>
      <c r="D754" t="n">
        <v>7</v>
      </c>
      <c r="E754" t="n">
        <v>17</v>
      </c>
      <c r="F754" t="n">
        <v>4</v>
      </c>
      <c r="G754" t="n">
        <v>79323.65276549324</v>
      </c>
      <c r="H754" t="n">
        <v>121.3989720285057</v>
      </c>
      <c r="I754">
        <f>IF(H754=0, 0, G754/H754)</f>
        <v/>
      </c>
      <c r="J754">
        <f>RANK(I754, I$2:I$1111, 0)</f>
        <v/>
      </c>
      <c r="K754">
        <f>SUM(C754)</f>
        <v/>
      </c>
      <c r="L754">
        <f>SUM(K754,D754)</f>
        <v/>
      </c>
      <c r="M754">
        <f>SUM(L754,E754,F754)</f>
        <v/>
      </c>
      <c r="N754">
        <f>IF(L754=0, -1, K754/L754)</f>
        <v/>
      </c>
      <c r="O754">
        <f>IF(M754=0, -1, K754/M754)</f>
        <v/>
      </c>
      <c r="P754">
        <f>IF(M754=0, -1, L754/M754)</f>
        <v/>
      </c>
    </row>
    <row r="755">
      <c r="A755" t="inlineStr">
        <is>
          <t>RC00571</t>
        </is>
      </c>
      <c r="B755" t="inlineStr">
        <is>
          <t>湖南中医药大学</t>
        </is>
      </c>
      <c r="C755" t="n">
        <v>1</v>
      </c>
      <c r="D755" t="n">
        <v>1</v>
      </c>
      <c r="E755" t="n">
        <v>16</v>
      </c>
      <c r="F755" t="n">
        <v>10</v>
      </c>
      <c r="G755" t="n">
        <v>57672.96988711519</v>
      </c>
      <c r="H755" t="n">
        <v>117.9094818224714</v>
      </c>
      <c r="I755">
        <f>IF(H755=0, 0, G755/H755)</f>
        <v/>
      </c>
      <c r="J755">
        <f>RANK(I755, I$2:I$1111, 0)</f>
        <v/>
      </c>
      <c r="K755">
        <f>SUM(C755)</f>
        <v/>
      </c>
      <c r="L755">
        <f>SUM(K755,D755)</f>
        <v/>
      </c>
      <c r="M755">
        <f>SUM(L755,E755,F755)</f>
        <v/>
      </c>
      <c r="N755">
        <f>IF(L755=0, -1, K755/L755)</f>
        <v/>
      </c>
      <c r="O755">
        <f>IF(M755=0, -1, K755/M755)</f>
        <v/>
      </c>
      <c r="P755">
        <f>IF(M755=0, -1, L755/M755)</f>
        <v/>
      </c>
    </row>
    <row r="756">
      <c r="A756" t="inlineStr">
        <is>
          <t>RC00472</t>
        </is>
      </c>
      <c r="B756" t="inlineStr">
        <is>
          <t>山东第二医科大学</t>
        </is>
      </c>
      <c r="C756" t="n">
        <v>0</v>
      </c>
      <c r="D756" t="n">
        <v>0</v>
      </c>
      <c r="E756" t="n">
        <v>7</v>
      </c>
      <c r="F756" t="n">
        <v>15</v>
      </c>
      <c r="G756" t="n">
        <v>40635.20451028372</v>
      </c>
      <c r="H756" t="n">
        <v>97.33980476518198</v>
      </c>
      <c r="I756">
        <f>IF(H756=0, 0, G756/H756)</f>
        <v/>
      </c>
      <c r="J756">
        <f>RANK(I756, I$2:I$1111, 0)</f>
        <v/>
      </c>
      <c r="K756">
        <f>SUM(C756)</f>
        <v/>
      </c>
      <c r="L756">
        <f>SUM(K756,D756)</f>
        <v/>
      </c>
      <c r="M756">
        <f>SUM(L756,E756,F756)</f>
        <v/>
      </c>
      <c r="N756">
        <f>IF(L756=0, -1, K756/L756)</f>
        <v/>
      </c>
      <c r="O756">
        <f>IF(M756=0, -1, K756/M756)</f>
        <v/>
      </c>
      <c r="P756">
        <f>IF(M756=0, -1, L756/M756)</f>
        <v/>
      </c>
    </row>
    <row r="757">
      <c r="A757" t="inlineStr">
        <is>
          <t>RC00914</t>
        </is>
      </c>
      <c r="B757" t="inlineStr">
        <is>
          <t>长沙医学院</t>
        </is>
      </c>
      <c r="C757" t="n">
        <v>0</v>
      </c>
      <c r="D757" t="n">
        <v>0</v>
      </c>
      <c r="E757" t="n">
        <v>0</v>
      </c>
      <c r="F757" t="n">
        <v>1</v>
      </c>
      <c r="G757" t="n">
        <v>773.7502115578546</v>
      </c>
      <c r="H757" t="n">
        <v>4.007333185232471</v>
      </c>
      <c r="I757">
        <f>IF(H757=0, 0, G757/H757)</f>
        <v/>
      </c>
      <c r="J757">
        <f>RANK(I757, I$2:I$1111, 0)</f>
        <v/>
      </c>
      <c r="K757">
        <f>SUM(C757)</f>
        <v/>
      </c>
      <c r="L757">
        <f>SUM(K757,D757)</f>
        <v/>
      </c>
      <c r="M757">
        <f>SUM(L757,E757,F757)</f>
        <v/>
      </c>
      <c r="N757">
        <f>IF(L757=0, -1, K757/L757)</f>
        <v/>
      </c>
      <c r="O757">
        <f>IF(M757=0, -1, K757/M757)</f>
        <v/>
      </c>
      <c r="P757">
        <f>IF(M757=0, -1, L757/M757)</f>
        <v/>
      </c>
    </row>
    <row r="758">
      <c r="A758" t="inlineStr">
        <is>
          <t>RC00448</t>
        </is>
      </c>
      <c r="B758" t="inlineStr">
        <is>
          <t>赣南医科大学</t>
        </is>
      </c>
      <c r="C758" t="n">
        <v>0</v>
      </c>
      <c r="D758" t="n">
        <v>0</v>
      </c>
      <c r="E758" t="n">
        <v>1</v>
      </c>
      <c r="F758" t="n">
        <v>10</v>
      </c>
      <c r="G758" t="n">
        <v>18294.77319913458</v>
      </c>
      <c r="H758" t="n">
        <v>48.14722519371289</v>
      </c>
      <c r="I758">
        <f>IF(H758=0, 0, G758/H758)</f>
        <v/>
      </c>
      <c r="J758">
        <f>RANK(I758, I$2:I$1111, 0)</f>
        <v/>
      </c>
      <c r="K758">
        <f>SUM(C758)</f>
        <v/>
      </c>
      <c r="L758">
        <f>SUM(K758,D758)</f>
        <v/>
      </c>
      <c r="M758">
        <f>SUM(L758,E758,F758)</f>
        <v/>
      </c>
      <c r="N758">
        <f>IF(L758=0, -1, K758/L758)</f>
        <v/>
      </c>
      <c r="O758">
        <f>IF(M758=0, -1, K758/M758)</f>
        <v/>
      </c>
      <c r="P758">
        <f>IF(M758=0, -1, L758/M758)</f>
        <v/>
      </c>
    </row>
    <row r="759">
      <c r="A759" t="inlineStr">
        <is>
          <t>RC00312</t>
        </is>
      </c>
      <c r="B759" t="inlineStr">
        <is>
          <t>黑龙江中医药大学</t>
        </is>
      </c>
      <c r="C759" t="n">
        <v>0</v>
      </c>
      <c r="D759" t="n">
        <v>1</v>
      </c>
      <c r="E759" t="n">
        <v>6</v>
      </c>
      <c r="F759" t="n">
        <v>16</v>
      </c>
      <c r="G759" t="n">
        <v>43731.57254387586</v>
      </c>
      <c r="H759" t="n">
        <v>90.18406043014939</v>
      </c>
      <c r="I759">
        <f>IF(H759=0, 0, G759/H759)</f>
        <v/>
      </c>
      <c r="J759">
        <f>RANK(I759, I$2:I$1111, 0)</f>
        <v/>
      </c>
      <c r="K759">
        <f>SUM(C759)</f>
        <v/>
      </c>
      <c r="L759">
        <f>SUM(K759,D759)</f>
        <v/>
      </c>
      <c r="M759">
        <f>SUM(L759,E759,F759)</f>
        <v/>
      </c>
      <c r="N759">
        <f>IF(L759=0, -1, K759/L759)</f>
        <v/>
      </c>
      <c r="O759">
        <f>IF(M759=0, -1, K759/M759)</f>
        <v/>
      </c>
      <c r="P759">
        <f>IF(M759=0, -1, L759/M759)</f>
        <v/>
      </c>
    </row>
    <row r="760">
      <c r="A760" t="inlineStr">
        <is>
          <t>RC00260</t>
        </is>
      </c>
      <c r="B760" t="inlineStr">
        <is>
          <t>辽宁中医药大学</t>
        </is>
      </c>
      <c r="C760" t="n">
        <v>1</v>
      </c>
      <c r="D760" t="n">
        <v>0</v>
      </c>
      <c r="E760" t="n">
        <v>3</v>
      </c>
      <c r="F760" t="n">
        <v>15</v>
      </c>
      <c r="G760" t="n">
        <v>31678.479708754</v>
      </c>
      <c r="H760" t="n">
        <v>78.18164659615752</v>
      </c>
      <c r="I760">
        <f>IF(H760=0, 0, G760/H760)</f>
        <v/>
      </c>
      <c r="J760">
        <f>RANK(I760, I$2:I$1111, 0)</f>
        <v/>
      </c>
      <c r="K760">
        <f>SUM(C760)</f>
        <v/>
      </c>
      <c r="L760">
        <f>SUM(K760,D760)</f>
        <v/>
      </c>
      <c r="M760">
        <f>SUM(L760,E760,F760)</f>
        <v/>
      </c>
      <c r="N760">
        <f>IF(L760=0, -1, K760/L760)</f>
        <v/>
      </c>
      <c r="O760">
        <f>IF(M760=0, -1, K760/M760)</f>
        <v/>
      </c>
      <c r="P760">
        <f>IF(M760=0, -1, L760/M760)</f>
        <v/>
      </c>
    </row>
    <row r="761">
      <c r="A761" t="inlineStr">
        <is>
          <t>RC00259</t>
        </is>
      </c>
      <c r="B761" t="inlineStr">
        <is>
          <t>锦州医科大学</t>
        </is>
      </c>
      <c r="C761" t="n">
        <v>0</v>
      </c>
      <c r="D761" t="n">
        <v>0</v>
      </c>
      <c r="E761" t="n">
        <v>5</v>
      </c>
      <c r="F761" t="n">
        <v>7</v>
      </c>
      <c r="G761" t="n">
        <v>21109.51305666005</v>
      </c>
      <c r="H761" t="n">
        <v>49.79523902028258</v>
      </c>
      <c r="I761">
        <f>IF(H761=0, 0, G761/H761)</f>
        <v/>
      </c>
      <c r="J761">
        <f>RANK(I761, I$2:I$1111, 0)</f>
        <v/>
      </c>
      <c r="K761">
        <f>SUM(C761)</f>
        <v/>
      </c>
      <c r="L761">
        <f>SUM(K761,D761)</f>
        <v/>
      </c>
      <c r="M761">
        <f>SUM(L761,E761,F761)</f>
        <v/>
      </c>
      <c r="N761">
        <f>IF(L761=0, -1, K761/L761)</f>
        <v/>
      </c>
      <c r="O761">
        <f>IF(M761=0, -1, K761/M761)</f>
        <v/>
      </c>
      <c r="P761">
        <f>IF(M761=0, -1, L761/M761)</f>
        <v/>
      </c>
    </row>
    <row r="762">
      <c r="A762" t="inlineStr">
        <is>
          <t>RC00897</t>
        </is>
      </c>
      <c r="B762" t="inlineStr">
        <is>
          <t>黄河科技学院</t>
        </is>
      </c>
      <c r="C762" t="n">
        <v>0</v>
      </c>
      <c r="D762" t="n">
        <v>0</v>
      </c>
      <c r="E762" t="n">
        <v>0</v>
      </c>
      <c r="F762" t="n">
        <v>8</v>
      </c>
      <c r="G762" t="n">
        <v>11247.29883739875</v>
      </c>
      <c r="H762" t="n">
        <v>37.51166060431078</v>
      </c>
      <c r="I762">
        <f>IF(H762=0, 0, G762/H762)</f>
        <v/>
      </c>
      <c r="J762">
        <f>RANK(I762, I$2:I$1111, 0)</f>
        <v/>
      </c>
      <c r="K762">
        <f>SUM(C762)</f>
        <v/>
      </c>
      <c r="L762">
        <f>SUM(K762,D762)</f>
        <v/>
      </c>
      <c r="M762">
        <f>SUM(L762,E762,F762)</f>
        <v/>
      </c>
      <c r="N762">
        <f>IF(L762=0, -1, K762/L762)</f>
        <v/>
      </c>
      <c r="O762">
        <f>IF(M762=0, -1, K762/M762)</f>
        <v/>
      </c>
      <c r="P762">
        <f>IF(M762=0, -1, L762/M762)</f>
        <v/>
      </c>
    </row>
    <row r="763">
      <c r="A763" t="inlineStr">
        <is>
          <t>RC00228</t>
        </is>
      </c>
      <c r="B763" t="inlineStr">
        <is>
          <t>太原工业学院</t>
        </is>
      </c>
      <c r="C763" t="n">
        <v>0</v>
      </c>
      <c r="D763" t="n">
        <v>0</v>
      </c>
      <c r="E763" t="n">
        <v>3</v>
      </c>
      <c r="F763" t="n">
        <v>10</v>
      </c>
      <c r="G763" t="n">
        <v>16843.65304338515</v>
      </c>
      <c r="H763" t="n">
        <v>60.12608719535112</v>
      </c>
      <c r="I763">
        <f>IF(H763=0, 0, G763/H763)</f>
        <v/>
      </c>
      <c r="J763">
        <f>RANK(I763, I$2:I$1111, 0)</f>
        <v/>
      </c>
      <c r="K763">
        <f>SUM(C763)</f>
        <v/>
      </c>
      <c r="L763">
        <f>SUM(K763,D763)</f>
        <v/>
      </c>
      <c r="M763">
        <f>SUM(L763,E763,F763)</f>
        <v/>
      </c>
      <c r="N763">
        <f>IF(L763=0, -1, K763/L763)</f>
        <v/>
      </c>
      <c r="O763">
        <f>IF(M763=0, -1, K763/M763)</f>
        <v/>
      </c>
      <c r="P763">
        <f>IF(M763=0, -1, L763/M763)</f>
        <v/>
      </c>
    </row>
    <row r="764">
      <c r="A764" t="inlineStr">
        <is>
          <t>RC00820</t>
        </is>
      </c>
      <c r="B764" t="inlineStr">
        <is>
          <t>河北传媒学院</t>
        </is>
      </c>
      <c r="C764" t="n">
        <v>1</v>
      </c>
      <c r="D764" t="n">
        <v>0</v>
      </c>
      <c r="E764" t="n">
        <v>7</v>
      </c>
      <c r="F764" t="n">
        <v>11</v>
      </c>
      <c r="G764" t="n">
        <v>29978.00420651641</v>
      </c>
      <c r="H764" t="n">
        <v>77.41051113498069</v>
      </c>
      <c r="I764">
        <f>IF(H764=0, 0, G764/H764)</f>
        <v/>
      </c>
      <c r="J764">
        <f>RANK(I764, I$2:I$1111, 0)</f>
        <v/>
      </c>
      <c r="K764">
        <f>SUM(C764)</f>
        <v/>
      </c>
      <c r="L764">
        <f>SUM(K764,D764)</f>
        <v/>
      </c>
      <c r="M764">
        <f>SUM(L764,E764,F764)</f>
        <v/>
      </c>
      <c r="N764">
        <f>IF(L764=0, -1, K764/L764)</f>
        <v/>
      </c>
      <c r="O764">
        <f>IF(M764=0, -1, K764/M764)</f>
        <v/>
      </c>
      <c r="P764">
        <f>IF(M764=0, -1, L764/M764)</f>
        <v/>
      </c>
    </row>
    <row r="765">
      <c r="A765" t="inlineStr">
        <is>
          <t>RC01193</t>
        </is>
      </c>
      <c r="B765" t="inlineStr">
        <is>
          <t>成都银杏酒店管理学院</t>
        </is>
      </c>
      <c r="C765" t="n">
        <v>0</v>
      </c>
      <c r="D765" t="n">
        <v>0</v>
      </c>
      <c r="E765" t="n">
        <v>1</v>
      </c>
      <c r="F765" t="n">
        <v>1</v>
      </c>
      <c r="G765" t="n">
        <v>2790.37449052862</v>
      </c>
      <c r="H765" t="n">
        <v>8.97903863296051</v>
      </c>
      <c r="I765">
        <f>IF(H765=0, 0, G765/H765)</f>
        <v/>
      </c>
      <c r="J765">
        <f>RANK(I765, I$2:I$1111, 0)</f>
        <v/>
      </c>
      <c r="K765">
        <f>SUM(C765)</f>
        <v/>
      </c>
      <c r="L765">
        <f>SUM(K765,D765)</f>
        <v/>
      </c>
      <c r="M765">
        <f>SUM(L765,E765,F765)</f>
        <v/>
      </c>
      <c r="N765">
        <f>IF(L765=0, -1, K765/L765)</f>
        <v/>
      </c>
      <c r="O765">
        <f>IF(M765=0, -1, K765/M765)</f>
        <v/>
      </c>
      <c r="P765">
        <f>IF(M765=0, -1, L765/M765)</f>
        <v/>
      </c>
    </row>
    <row r="766">
      <c r="A766" t="inlineStr">
        <is>
          <t>RC00415</t>
        </is>
      </c>
      <c r="B766" t="inlineStr">
        <is>
          <t>宿州学院</t>
        </is>
      </c>
      <c r="C766" t="n">
        <v>0</v>
      </c>
      <c r="D766" t="n">
        <v>1</v>
      </c>
      <c r="E766" t="n">
        <v>2</v>
      </c>
      <c r="F766" t="n">
        <v>11</v>
      </c>
      <c r="G766" t="n">
        <v>21833.59508050061</v>
      </c>
      <c r="H766" t="n">
        <v>70.5423538750194</v>
      </c>
      <c r="I766">
        <f>IF(H766=0, 0, G766/H766)</f>
        <v/>
      </c>
      <c r="J766">
        <f>RANK(I766, I$2:I$1111, 0)</f>
        <v/>
      </c>
      <c r="K766">
        <f>SUM(C766)</f>
        <v/>
      </c>
      <c r="L766">
        <f>SUM(K766,D766)</f>
        <v/>
      </c>
      <c r="M766">
        <f>SUM(L766,E766,F766)</f>
        <v/>
      </c>
      <c r="N766">
        <f>IF(L766=0, -1, K766/L766)</f>
        <v/>
      </c>
      <c r="O766">
        <f>IF(M766=0, -1, K766/M766)</f>
        <v/>
      </c>
      <c r="P766">
        <f>IF(M766=0, -1, L766/M766)</f>
        <v/>
      </c>
    </row>
    <row r="767">
      <c r="A767" t="inlineStr">
        <is>
          <t>RC00931</t>
        </is>
      </c>
      <c r="B767" t="inlineStr">
        <is>
          <t>海口经济学院</t>
        </is>
      </c>
      <c r="C767" t="n">
        <v>0</v>
      </c>
      <c r="D767" t="n">
        <v>0</v>
      </c>
      <c r="E767" t="n">
        <v>0</v>
      </c>
      <c r="F767" t="n">
        <v>5</v>
      </c>
      <c r="G767" t="n">
        <v>5753.795397418967</v>
      </c>
      <c r="H767" t="n">
        <v>19.6166316991084</v>
      </c>
      <c r="I767">
        <f>IF(H767=0, 0, G767/H767)</f>
        <v/>
      </c>
      <c r="J767">
        <f>RANK(I767, I$2:I$1111, 0)</f>
        <v/>
      </c>
      <c r="K767">
        <f>SUM(C767)</f>
        <v/>
      </c>
      <c r="L767">
        <f>SUM(K767,D767)</f>
        <v/>
      </c>
      <c r="M767">
        <f>SUM(L767,E767,F767)</f>
        <v/>
      </c>
      <c r="N767">
        <f>IF(L767=0, -1, K767/L767)</f>
        <v/>
      </c>
      <c r="O767">
        <f>IF(M767=0, -1, K767/M767)</f>
        <v/>
      </c>
      <c r="P767">
        <f>IF(M767=0, -1, L767/M767)</f>
        <v/>
      </c>
    </row>
    <row r="768">
      <c r="A768" t="inlineStr">
        <is>
          <t>RC01126</t>
        </is>
      </c>
      <c r="B768" t="inlineStr">
        <is>
          <t>三峡大学科技学院</t>
        </is>
      </c>
      <c r="C768" t="n">
        <v>0</v>
      </c>
      <c r="D768" t="n">
        <v>0</v>
      </c>
      <c r="E768" t="n">
        <v>0</v>
      </c>
      <c r="F768" t="n">
        <v>3</v>
      </c>
      <c r="G768" t="n">
        <v>4123.73943791864</v>
      </c>
      <c r="H768" t="n">
        <v>13.96947121973924</v>
      </c>
      <c r="I768">
        <f>IF(H768=0, 0, G768/H768)</f>
        <v/>
      </c>
      <c r="J768">
        <f>RANK(I768, I$2:I$1111, 0)</f>
        <v/>
      </c>
      <c r="K768">
        <f>SUM(C768)</f>
        <v/>
      </c>
      <c r="L768">
        <f>SUM(K768,D768)</f>
        <v/>
      </c>
      <c r="M768">
        <f>SUM(L768,E768,F768)</f>
        <v/>
      </c>
      <c r="N768">
        <f>IF(L768=0, -1, K768/L768)</f>
        <v/>
      </c>
      <c r="O768">
        <f>IF(M768=0, -1, K768/M768)</f>
        <v/>
      </c>
      <c r="P768">
        <f>IF(M768=0, -1, L768/M768)</f>
        <v/>
      </c>
    </row>
    <row r="769">
      <c r="A769" t="inlineStr">
        <is>
          <t>RC00683</t>
        </is>
      </c>
      <c r="B769" t="inlineStr">
        <is>
          <t>四川旅游学院</t>
        </is>
      </c>
      <c r="C769" t="n">
        <v>0</v>
      </c>
      <c r="D769" t="n">
        <v>0</v>
      </c>
      <c r="E769" t="n">
        <v>1</v>
      </c>
      <c r="F769" t="n">
        <v>13</v>
      </c>
      <c r="G769" t="n">
        <v>19520.14446317322</v>
      </c>
      <c r="H769" t="n">
        <v>62.25084218168276</v>
      </c>
      <c r="I769">
        <f>IF(H769=0, 0, G769/H769)</f>
        <v/>
      </c>
      <c r="J769">
        <f>RANK(I769, I$2:I$1111, 0)</f>
        <v/>
      </c>
      <c r="K769">
        <f>SUM(C769)</f>
        <v/>
      </c>
      <c r="L769">
        <f>SUM(K769,D769)</f>
        <v/>
      </c>
      <c r="M769">
        <f>SUM(L769,E769,F769)</f>
        <v/>
      </c>
      <c r="N769">
        <f>IF(L769=0, -1, K769/L769)</f>
        <v/>
      </c>
      <c r="O769">
        <f>IF(M769=0, -1, K769/M769)</f>
        <v/>
      </c>
      <c r="P769">
        <f>IF(M769=0, -1, L769/M769)</f>
        <v/>
      </c>
    </row>
    <row r="770">
      <c r="A770" t="inlineStr">
        <is>
          <t>RC00973</t>
        </is>
      </c>
      <c r="B770" t="inlineStr">
        <is>
          <t>天津仁爱学院</t>
        </is>
      </c>
      <c r="C770" t="n">
        <v>0</v>
      </c>
      <c r="D770" t="n">
        <v>0</v>
      </c>
      <c r="E770" t="n">
        <v>0</v>
      </c>
      <c r="F770" t="n">
        <v>2</v>
      </c>
      <c r="G770" t="n">
        <v>2503.782389921978</v>
      </c>
      <c r="H770" t="n">
        <v>9.604744532724922</v>
      </c>
      <c r="I770">
        <f>IF(H770=0, 0, G770/H770)</f>
        <v/>
      </c>
      <c r="J770">
        <f>RANK(I770, I$2:I$1111, 0)</f>
        <v/>
      </c>
      <c r="K770">
        <f>SUM(C770)</f>
        <v/>
      </c>
      <c r="L770">
        <f>SUM(K770,D770)</f>
        <v/>
      </c>
      <c r="M770">
        <f>SUM(L770,E770,F770)</f>
        <v/>
      </c>
      <c r="N770">
        <f>IF(L770=0, -1, K770/L770)</f>
        <v/>
      </c>
      <c r="O770">
        <f>IF(M770=0, -1, K770/M770)</f>
        <v/>
      </c>
      <c r="P770">
        <f>IF(M770=0, -1, L770/M770)</f>
        <v/>
      </c>
    </row>
    <row r="771">
      <c r="A771" t="inlineStr">
        <is>
          <t>RC01124</t>
        </is>
      </c>
      <c r="B771" t="inlineStr">
        <is>
          <t>武汉华夏理工学院</t>
        </is>
      </c>
      <c r="C771" t="n">
        <v>0</v>
      </c>
      <c r="D771" t="n">
        <v>0</v>
      </c>
      <c r="E771" t="n">
        <v>0</v>
      </c>
      <c r="F771" t="n">
        <v>5</v>
      </c>
      <c r="G771" t="n">
        <v>6271.046950746099</v>
      </c>
      <c r="H771" t="n">
        <v>25.01995534565354</v>
      </c>
      <c r="I771">
        <f>IF(H771=0, 0, G771/H771)</f>
        <v/>
      </c>
      <c r="J771">
        <f>RANK(I771, I$2:I$1111, 0)</f>
        <v/>
      </c>
      <c r="K771">
        <f>SUM(C771)</f>
        <v/>
      </c>
      <c r="L771">
        <f>SUM(K771,D771)</f>
        <v/>
      </c>
      <c r="M771">
        <f>SUM(L771,E771,F771)</f>
        <v/>
      </c>
      <c r="N771">
        <f>IF(L771=0, -1, K771/L771)</f>
        <v/>
      </c>
      <c r="O771">
        <f>IF(M771=0, -1, K771/M771)</f>
        <v/>
      </c>
      <c r="P771">
        <f>IF(M771=0, -1, L771/M771)</f>
        <v/>
      </c>
    </row>
    <row r="772">
      <c r="A772" t="inlineStr">
        <is>
          <t>RC00796</t>
        </is>
      </c>
      <c r="B772" t="inlineStr">
        <is>
          <t>桂林旅游学院</t>
        </is>
      </c>
      <c r="C772" t="n">
        <v>0</v>
      </c>
      <c r="D772" t="n">
        <v>0</v>
      </c>
      <c r="E772" t="n">
        <v>3</v>
      </c>
      <c r="F772" t="n">
        <v>7</v>
      </c>
      <c r="G772" t="n">
        <v>17832.79227385521</v>
      </c>
      <c r="H772" t="n">
        <v>48.46336612529897</v>
      </c>
      <c r="I772">
        <f>IF(H772=0, 0, G772/H772)</f>
        <v/>
      </c>
      <c r="J772">
        <f>RANK(I772, I$2:I$1111, 0)</f>
        <v/>
      </c>
      <c r="K772">
        <f>SUM(C772)</f>
        <v/>
      </c>
      <c r="L772">
        <f>SUM(K772,D772)</f>
        <v/>
      </c>
      <c r="M772">
        <f>SUM(L772,E772,F772)</f>
        <v/>
      </c>
      <c r="N772">
        <f>IF(L772=0, -1, K772/L772)</f>
        <v/>
      </c>
      <c r="O772">
        <f>IF(M772=0, -1, K772/M772)</f>
        <v/>
      </c>
      <c r="P772">
        <f>IF(M772=0, -1, L772/M772)</f>
        <v/>
      </c>
    </row>
    <row r="773">
      <c r="A773" t="inlineStr">
        <is>
          <t>RC00714</t>
        </is>
      </c>
      <c r="B773" t="inlineStr">
        <is>
          <t>保山学院</t>
        </is>
      </c>
      <c r="C773" t="n">
        <v>0</v>
      </c>
      <c r="D773" t="n">
        <v>0</v>
      </c>
      <c r="E773" t="n">
        <v>1</v>
      </c>
      <c r="F773" t="n">
        <v>5</v>
      </c>
      <c r="G773" t="n">
        <v>9322.044875381247</v>
      </c>
      <c r="H773" t="n">
        <v>30.12410442696318</v>
      </c>
      <c r="I773">
        <f>IF(H773=0, 0, G773/H773)</f>
        <v/>
      </c>
      <c r="J773">
        <f>RANK(I773, I$2:I$1111, 0)</f>
        <v/>
      </c>
      <c r="K773">
        <f>SUM(C773)</f>
        <v/>
      </c>
      <c r="L773">
        <f>SUM(K773,D773)</f>
        <v/>
      </c>
      <c r="M773">
        <f>SUM(L773,E773,F773)</f>
        <v/>
      </c>
      <c r="N773">
        <f>IF(L773=0, -1, K773/L773)</f>
        <v/>
      </c>
      <c r="O773">
        <f>IF(M773=0, -1, K773/M773)</f>
        <v/>
      </c>
      <c r="P773">
        <f>IF(M773=0, -1, L773/M773)</f>
        <v/>
      </c>
    </row>
    <row r="774">
      <c r="A774" t="inlineStr">
        <is>
          <t>RC00806</t>
        </is>
      </c>
      <c r="B774" t="inlineStr">
        <is>
          <t>河北环境工程学院</t>
        </is>
      </c>
      <c r="C774" t="n">
        <v>0</v>
      </c>
      <c r="D774" t="n">
        <v>0</v>
      </c>
      <c r="E774" t="n">
        <v>0</v>
      </c>
      <c r="F774" t="n">
        <v>8</v>
      </c>
      <c r="G774" t="n">
        <v>11736.02975644005</v>
      </c>
      <c r="H774" t="n">
        <v>40.6981847188561</v>
      </c>
      <c r="I774">
        <f>IF(H774=0, 0, G774/H774)</f>
        <v/>
      </c>
      <c r="J774">
        <f>RANK(I774, I$2:I$1111, 0)</f>
        <v/>
      </c>
      <c r="K774">
        <f>SUM(C774)</f>
        <v/>
      </c>
      <c r="L774">
        <f>SUM(K774,D774)</f>
        <v/>
      </c>
      <c r="M774">
        <f>SUM(L774,E774,F774)</f>
        <v/>
      </c>
      <c r="N774">
        <f>IF(L774=0, -1, K774/L774)</f>
        <v/>
      </c>
      <c r="O774">
        <f>IF(M774=0, -1, K774/M774)</f>
        <v/>
      </c>
      <c r="P774">
        <f>IF(M774=0, -1, L774/M774)</f>
        <v/>
      </c>
    </row>
    <row r="775">
      <c r="A775" t="inlineStr">
        <is>
          <t>RC00528</t>
        </is>
      </c>
      <c r="B775" t="inlineStr">
        <is>
          <t>信阳农林学院</t>
        </is>
      </c>
      <c r="C775" t="n">
        <v>0</v>
      </c>
      <c r="D775" t="n">
        <v>0</v>
      </c>
      <c r="E775" t="n">
        <v>0</v>
      </c>
      <c r="F775" t="n">
        <v>9</v>
      </c>
      <c r="G775" t="n">
        <v>13587.21282974256</v>
      </c>
      <c r="H775" t="n">
        <v>44.5386555236613</v>
      </c>
      <c r="I775">
        <f>IF(H775=0, 0, G775/H775)</f>
        <v/>
      </c>
      <c r="J775">
        <f>RANK(I775, I$2:I$1111, 0)</f>
        <v/>
      </c>
      <c r="K775">
        <f>SUM(C775)</f>
        <v/>
      </c>
      <c r="L775">
        <f>SUM(K775,D775)</f>
        <v/>
      </c>
      <c r="M775">
        <f>SUM(L775,E775,F775)</f>
        <v/>
      </c>
      <c r="N775">
        <f>IF(L775=0, -1, K775/L775)</f>
        <v/>
      </c>
      <c r="O775">
        <f>IF(M775=0, -1, K775/M775)</f>
        <v/>
      </c>
      <c r="P775">
        <f>IF(M775=0, -1, L775/M775)</f>
        <v/>
      </c>
    </row>
    <row r="776">
      <c r="A776" t="inlineStr">
        <is>
          <t>RC00665</t>
        </is>
      </c>
      <c r="B776" t="inlineStr">
        <is>
          <t>中国民用航空飞行学院</t>
        </is>
      </c>
      <c r="C776" t="n">
        <v>1</v>
      </c>
      <c r="D776" t="n">
        <v>0</v>
      </c>
      <c r="E776" t="n">
        <v>9</v>
      </c>
      <c r="F776" t="n">
        <v>18</v>
      </c>
      <c r="G776" t="n">
        <v>46590.10087161761</v>
      </c>
      <c r="H776" t="n">
        <v>123.2005587523594</v>
      </c>
      <c r="I776">
        <f>IF(H776=0, 0, G776/H776)</f>
        <v/>
      </c>
      <c r="J776">
        <f>RANK(I776, I$2:I$1111, 0)</f>
        <v/>
      </c>
      <c r="K776">
        <f>SUM(C776)</f>
        <v/>
      </c>
      <c r="L776">
        <f>SUM(K776,D776)</f>
        <v/>
      </c>
      <c r="M776">
        <f>SUM(L776,E776,F776)</f>
        <v/>
      </c>
      <c r="N776">
        <f>IF(L776=0, -1, K776/L776)</f>
        <v/>
      </c>
      <c r="O776">
        <f>IF(M776=0, -1, K776/M776)</f>
        <v/>
      </c>
      <c r="P776">
        <f>IF(M776=0, -1, L776/M776)</f>
        <v/>
      </c>
    </row>
    <row r="777">
      <c r="A777" t="inlineStr">
        <is>
          <t>RC00486</t>
        </is>
      </c>
      <c r="B777" t="inlineStr">
        <is>
          <t>菏泽学院</t>
        </is>
      </c>
      <c r="C777" t="n">
        <v>0</v>
      </c>
      <c r="D777" t="n">
        <v>0</v>
      </c>
      <c r="E777" t="n">
        <v>1</v>
      </c>
      <c r="F777" t="n">
        <v>5</v>
      </c>
      <c r="G777" t="n">
        <v>7986.777242873961</v>
      </c>
      <c r="H777" t="n">
        <v>27.40540227064037</v>
      </c>
      <c r="I777">
        <f>IF(H777=0, 0, G777/H777)</f>
        <v/>
      </c>
      <c r="J777">
        <f>RANK(I777, I$2:I$1111, 0)</f>
        <v/>
      </c>
      <c r="K777">
        <f>SUM(C777)</f>
        <v/>
      </c>
      <c r="L777">
        <f>SUM(K777,D777)</f>
        <v/>
      </c>
      <c r="M777">
        <f>SUM(L777,E777,F777)</f>
        <v/>
      </c>
      <c r="N777">
        <f>IF(L777=0, -1, K777/L777)</f>
        <v/>
      </c>
      <c r="O777">
        <f>IF(M777=0, -1, K777/M777)</f>
        <v/>
      </c>
      <c r="P777">
        <f>IF(M777=0, -1, L777/M777)</f>
        <v/>
      </c>
    </row>
    <row r="778">
      <c r="A778" t="inlineStr">
        <is>
          <t>RC00612</t>
        </is>
      </c>
      <c r="B778" t="inlineStr">
        <is>
          <t>五邑大学</t>
        </is>
      </c>
      <c r="C778" t="n">
        <v>0</v>
      </c>
      <c r="D778" t="n">
        <v>0</v>
      </c>
      <c r="E778" t="n">
        <v>7</v>
      </c>
      <c r="F778" t="n">
        <v>21</v>
      </c>
      <c r="G778" t="n">
        <v>50035.05630268995</v>
      </c>
      <c r="H778" t="n">
        <v>148.8043325704976</v>
      </c>
      <c r="I778">
        <f>IF(H778=0, 0, G778/H778)</f>
        <v/>
      </c>
      <c r="J778">
        <f>RANK(I778, I$2:I$1111, 0)</f>
        <v/>
      </c>
      <c r="K778">
        <f>SUM(C778)</f>
        <v/>
      </c>
      <c r="L778">
        <f>SUM(K778,D778)</f>
        <v/>
      </c>
      <c r="M778">
        <f>SUM(L778,E778,F778)</f>
        <v/>
      </c>
      <c r="N778">
        <f>IF(L778=0, -1, K778/L778)</f>
        <v/>
      </c>
      <c r="O778">
        <f>IF(M778=0, -1, K778/M778)</f>
        <v/>
      </c>
      <c r="P778">
        <f>IF(M778=0, -1, L778/M778)</f>
        <v/>
      </c>
    </row>
    <row r="779">
      <c r="A779" t="inlineStr">
        <is>
          <t>RC00740</t>
        </is>
      </c>
      <c r="B779" t="inlineStr">
        <is>
          <t>渭南师范学院</t>
        </is>
      </c>
      <c r="C779" t="n">
        <v>0</v>
      </c>
      <c r="D779" t="n">
        <v>0</v>
      </c>
      <c r="E779" t="n">
        <v>1</v>
      </c>
      <c r="F779" t="n">
        <v>14</v>
      </c>
      <c r="G779" t="n">
        <v>25667.88038834241</v>
      </c>
      <c r="H779" t="n">
        <v>80.42957374894972</v>
      </c>
      <c r="I779">
        <f>IF(H779=0, 0, G779/H779)</f>
        <v/>
      </c>
      <c r="J779">
        <f>RANK(I779, I$2:I$1111, 0)</f>
        <v/>
      </c>
      <c r="K779">
        <f>SUM(C779)</f>
        <v/>
      </c>
      <c r="L779">
        <f>SUM(K779,D779)</f>
        <v/>
      </c>
      <c r="M779">
        <f>SUM(L779,E779,F779)</f>
        <v/>
      </c>
      <c r="N779">
        <f>IF(L779=0, -1, K779/L779)</f>
        <v/>
      </c>
      <c r="O779">
        <f>IF(M779=0, -1, K779/M779)</f>
        <v/>
      </c>
      <c r="P779">
        <f>IF(M779=0, -1, L779/M779)</f>
        <v/>
      </c>
    </row>
    <row r="780">
      <c r="A780" t="inlineStr">
        <is>
          <t>RC00629</t>
        </is>
      </c>
      <c r="B780" t="inlineStr">
        <is>
          <t>广西民族师范学院</t>
        </is>
      </c>
      <c r="C780" t="n">
        <v>0</v>
      </c>
      <c r="D780" t="n">
        <v>0</v>
      </c>
      <c r="E780" t="n">
        <v>0</v>
      </c>
      <c r="F780" t="n">
        <v>5</v>
      </c>
      <c r="G780" t="n">
        <v>8293.14185626974</v>
      </c>
      <c r="H780" t="n">
        <v>27.06614424772465</v>
      </c>
      <c r="I780">
        <f>IF(H780=0, 0, G780/H780)</f>
        <v/>
      </c>
      <c r="J780">
        <f>RANK(I780, I$2:I$1111, 0)</f>
        <v/>
      </c>
      <c r="K780">
        <f>SUM(C780)</f>
        <v/>
      </c>
      <c r="L780">
        <f>SUM(K780,D780)</f>
        <v/>
      </c>
      <c r="M780">
        <f>SUM(L780,E780,F780)</f>
        <v/>
      </c>
      <c r="N780">
        <f>IF(L780=0, -1, K780/L780)</f>
        <v/>
      </c>
      <c r="O780">
        <f>IF(M780=0, -1, K780/M780)</f>
        <v/>
      </c>
      <c r="P780">
        <f>IF(M780=0, -1, L780/M780)</f>
        <v/>
      </c>
    </row>
    <row r="781">
      <c r="A781" t="inlineStr">
        <is>
          <t>RC00398</t>
        </is>
      </c>
      <c r="B781" t="inlineStr">
        <is>
          <t>浙江传媒学院</t>
        </is>
      </c>
      <c r="C781" t="n">
        <v>2</v>
      </c>
      <c r="D781" t="n">
        <v>6</v>
      </c>
      <c r="E781" t="n">
        <v>19</v>
      </c>
      <c r="F781" t="n">
        <v>8</v>
      </c>
      <c r="G781" t="n">
        <v>79007.65266547051</v>
      </c>
      <c r="H781" t="n">
        <v>153.5180372035171</v>
      </c>
      <c r="I781">
        <f>IF(H781=0, 0, G781/H781)</f>
        <v/>
      </c>
      <c r="J781">
        <f>RANK(I781, I$2:I$1111, 0)</f>
        <v/>
      </c>
      <c r="K781">
        <f>SUM(C781)</f>
        <v/>
      </c>
      <c r="L781">
        <f>SUM(K781,D781)</f>
        <v/>
      </c>
      <c r="M781">
        <f>SUM(L781,E781,F781)</f>
        <v/>
      </c>
      <c r="N781">
        <f>IF(L781=0, -1, K781/L781)</f>
        <v/>
      </c>
      <c r="O781">
        <f>IF(M781=0, -1, K781/M781)</f>
        <v/>
      </c>
      <c r="P781">
        <f>IF(M781=0, -1, L781/M781)</f>
        <v/>
      </c>
    </row>
    <row r="782">
      <c r="A782" t="inlineStr">
        <is>
          <t>RC00512</t>
        </is>
      </c>
      <c r="B782" t="inlineStr">
        <is>
          <t>河南中医药大学</t>
        </is>
      </c>
      <c r="C782" t="n">
        <v>0</v>
      </c>
      <c r="D782" t="n">
        <v>0</v>
      </c>
      <c r="E782" t="n">
        <v>13</v>
      </c>
      <c r="F782" t="n">
        <v>14</v>
      </c>
      <c r="G782" t="n">
        <v>54691.89253312328</v>
      </c>
      <c r="H782" t="n">
        <v>110.3563552405219</v>
      </c>
      <c r="I782">
        <f>IF(H782=0, 0, G782/H782)</f>
        <v/>
      </c>
      <c r="J782">
        <f>RANK(I782, I$2:I$1111, 0)</f>
        <v/>
      </c>
      <c r="K782">
        <f>SUM(C782)</f>
        <v/>
      </c>
      <c r="L782">
        <f>SUM(K782,D782)</f>
        <v/>
      </c>
      <c r="M782">
        <f>SUM(L782,E782,F782)</f>
        <v/>
      </c>
      <c r="N782">
        <f>IF(L782=0, -1, K782/L782)</f>
        <v/>
      </c>
      <c r="O782">
        <f>IF(M782=0, -1, K782/M782)</f>
        <v/>
      </c>
      <c r="P782">
        <f>IF(M782=0, -1, L782/M782)</f>
        <v/>
      </c>
    </row>
    <row r="783">
      <c r="A783" t="inlineStr">
        <is>
          <t>RC00201</t>
        </is>
      </c>
      <c r="B783" t="inlineStr">
        <is>
          <t>唐山学院</t>
        </is>
      </c>
      <c r="C783" t="n">
        <v>0</v>
      </c>
      <c r="D783" t="n">
        <v>0</v>
      </c>
      <c r="E783" t="n">
        <v>1</v>
      </c>
      <c r="F783" t="n">
        <v>12</v>
      </c>
      <c r="G783" t="n">
        <v>19169.89906898603</v>
      </c>
      <c r="H783" t="n">
        <v>64.5129722764885</v>
      </c>
      <c r="I783">
        <f>IF(H783=0, 0, G783/H783)</f>
        <v/>
      </c>
      <c r="J783">
        <f>RANK(I783, I$2:I$1111, 0)</f>
        <v/>
      </c>
      <c r="K783">
        <f>SUM(C783)</f>
        <v/>
      </c>
      <c r="L783">
        <f>SUM(K783,D783)</f>
        <v/>
      </c>
      <c r="M783">
        <f>SUM(L783,E783,F783)</f>
        <v/>
      </c>
      <c r="N783">
        <f>IF(L783=0, -1, K783/L783)</f>
        <v/>
      </c>
      <c r="O783">
        <f>IF(M783=0, -1, K783/M783)</f>
        <v/>
      </c>
      <c r="P783">
        <f>IF(M783=0, -1, L783/M783)</f>
        <v/>
      </c>
    </row>
    <row r="784">
      <c r="A784" t="inlineStr">
        <is>
          <t>RC00202</t>
        </is>
      </c>
      <c r="B784" t="inlineStr">
        <is>
          <t>华北科技学院</t>
        </is>
      </c>
      <c r="C784" t="n">
        <v>0</v>
      </c>
      <c r="D784" t="n">
        <v>0</v>
      </c>
      <c r="E784" t="n">
        <v>2</v>
      </c>
      <c r="F784" t="n">
        <v>14</v>
      </c>
      <c r="G784" t="n">
        <v>23768.21549132522</v>
      </c>
      <c r="H784" t="n">
        <v>74.96660866962819</v>
      </c>
      <c r="I784">
        <f>IF(H784=0, 0, G784/H784)</f>
        <v/>
      </c>
      <c r="J784">
        <f>RANK(I784, I$2:I$1111, 0)</f>
        <v/>
      </c>
      <c r="K784">
        <f>SUM(C784)</f>
        <v/>
      </c>
      <c r="L784">
        <f>SUM(K784,D784)</f>
        <v/>
      </c>
      <c r="M784">
        <f>SUM(L784,E784,F784)</f>
        <v/>
      </c>
      <c r="N784">
        <f>IF(L784=0, -1, K784/L784)</f>
        <v/>
      </c>
      <c r="O784">
        <f>IF(M784=0, -1, K784/M784)</f>
        <v/>
      </c>
      <c r="P784">
        <f>IF(M784=0, -1, L784/M784)</f>
        <v/>
      </c>
    </row>
    <row r="785">
      <c r="A785" t="inlineStr">
        <is>
          <t>RC00758</t>
        </is>
      </c>
      <c r="B785" t="inlineStr">
        <is>
          <t>甘肃农业大学</t>
        </is>
      </c>
      <c r="C785" t="n">
        <v>0</v>
      </c>
      <c r="D785" t="n">
        <v>0</v>
      </c>
      <c r="E785" t="n">
        <v>6</v>
      </c>
      <c r="F785" t="n">
        <v>26</v>
      </c>
      <c r="G785" t="n">
        <v>51790.79712704734</v>
      </c>
      <c r="H785" t="n">
        <v>140.8249307138823</v>
      </c>
      <c r="I785">
        <f>IF(H785=0, 0, G785/H785)</f>
        <v/>
      </c>
      <c r="J785">
        <f>RANK(I785, I$2:I$1111, 0)</f>
        <v/>
      </c>
      <c r="K785">
        <f>SUM(C785)</f>
        <v/>
      </c>
      <c r="L785">
        <f>SUM(K785,D785)</f>
        <v/>
      </c>
      <c r="M785">
        <f>SUM(L785,E785,F785)</f>
        <v/>
      </c>
      <c r="N785">
        <f>IF(L785=0, -1, K785/L785)</f>
        <v/>
      </c>
      <c r="O785">
        <f>IF(M785=0, -1, K785/M785)</f>
        <v/>
      </c>
      <c r="P785">
        <f>IF(M785=0, -1, L785/M785)</f>
        <v/>
      </c>
    </row>
    <row r="786">
      <c r="A786" t="inlineStr">
        <is>
          <t>RC00752</t>
        </is>
      </c>
      <c r="B786" t="inlineStr">
        <is>
          <t>西安航空学院</t>
        </is>
      </c>
      <c r="C786" t="n">
        <v>0</v>
      </c>
      <c r="D786" t="n">
        <v>0</v>
      </c>
      <c r="E786" t="n">
        <v>2</v>
      </c>
      <c r="F786" t="n">
        <v>14</v>
      </c>
      <c r="G786" t="n">
        <v>23265.76210355569</v>
      </c>
      <c r="H786" t="n">
        <v>72.5519618493859</v>
      </c>
      <c r="I786">
        <f>IF(H786=0, 0, G786/H786)</f>
        <v/>
      </c>
      <c r="J786">
        <f>RANK(I786, I$2:I$1111, 0)</f>
        <v/>
      </c>
      <c r="K786">
        <f>SUM(C786)</f>
        <v/>
      </c>
      <c r="L786">
        <f>SUM(K786,D786)</f>
        <v/>
      </c>
      <c r="M786">
        <f>SUM(L786,E786,F786)</f>
        <v/>
      </c>
      <c r="N786">
        <f>IF(L786=0, -1, K786/L786)</f>
        <v/>
      </c>
      <c r="O786">
        <f>IF(M786=0, -1, K786/M786)</f>
        <v/>
      </c>
      <c r="P786">
        <f>IF(M786=0, -1, L786/M786)</f>
        <v/>
      </c>
    </row>
    <row r="787">
      <c r="A787" t="inlineStr">
        <is>
          <t>RC00749</t>
        </is>
      </c>
      <c r="B787" t="inlineStr">
        <is>
          <t>安康学院</t>
        </is>
      </c>
      <c r="C787" t="n">
        <v>0</v>
      </c>
      <c r="D787" t="n">
        <v>0</v>
      </c>
      <c r="E787" t="n">
        <v>0</v>
      </c>
      <c r="F787" t="n">
        <v>8</v>
      </c>
      <c r="G787" t="n">
        <v>13790.09299881345</v>
      </c>
      <c r="H787" t="n">
        <v>40.98397936667354</v>
      </c>
      <c r="I787">
        <f>IF(H787=0, 0, G787/H787)</f>
        <v/>
      </c>
      <c r="J787">
        <f>RANK(I787, I$2:I$1111, 0)</f>
        <v/>
      </c>
      <c r="K787">
        <f>SUM(C787)</f>
        <v/>
      </c>
      <c r="L787">
        <f>SUM(K787,D787)</f>
        <v/>
      </c>
      <c r="M787">
        <f>SUM(L787,E787,F787)</f>
        <v/>
      </c>
      <c r="N787">
        <f>IF(L787=0, -1, K787/L787)</f>
        <v/>
      </c>
      <c r="O787">
        <f>IF(M787=0, -1, K787/M787)</f>
        <v/>
      </c>
      <c r="P787">
        <f>IF(M787=0, -1, L787/M787)</f>
        <v/>
      </c>
    </row>
    <row r="788">
      <c r="A788" t="inlineStr">
        <is>
          <t>RC00711</t>
        </is>
      </c>
      <c r="B788" t="inlineStr">
        <is>
          <t>昭通学院</t>
        </is>
      </c>
      <c r="C788" t="n">
        <v>0</v>
      </c>
      <c r="D788" t="n">
        <v>0</v>
      </c>
      <c r="E788" t="n">
        <v>0</v>
      </c>
      <c r="F788" t="n">
        <v>1</v>
      </c>
      <c r="G788" t="n">
        <v>1331.333672595191</v>
      </c>
      <c r="H788" t="n">
        <v>4.127134385045092</v>
      </c>
      <c r="I788">
        <f>IF(H788=0, 0, G788/H788)</f>
        <v/>
      </c>
      <c r="J788">
        <f>RANK(I788, I$2:I$1111, 0)</f>
        <v/>
      </c>
      <c r="K788">
        <f>SUM(C788)</f>
        <v/>
      </c>
      <c r="L788">
        <f>SUM(K788,D788)</f>
        <v/>
      </c>
      <c r="M788">
        <f>SUM(L788,E788,F788)</f>
        <v/>
      </c>
      <c r="N788">
        <f>IF(L788=0, -1, K788/L788)</f>
        <v/>
      </c>
      <c r="O788">
        <f>IF(M788=0, -1, K788/M788)</f>
        <v/>
      </c>
      <c r="P788">
        <f>IF(M788=0, -1, L788/M788)</f>
        <v/>
      </c>
    </row>
    <row r="789">
      <c r="A789" t="inlineStr">
        <is>
          <t>RC00222</t>
        </is>
      </c>
      <c r="B789" t="inlineStr">
        <is>
          <t>运城学院</t>
        </is>
      </c>
      <c r="C789" t="n">
        <v>0</v>
      </c>
      <c r="D789" t="n">
        <v>0</v>
      </c>
      <c r="E789" t="n">
        <v>1</v>
      </c>
      <c r="F789" t="n">
        <v>13</v>
      </c>
      <c r="G789" t="n">
        <v>23826.14779959483</v>
      </c>
      <c r="H789" t="n">
        <v>72.53878669319292</v>
      </c>
      <c r="I789">
        <f>IF(H789=0, 0, G789/H789)</f>
        <v/>
      </c>
      <c r="J789">
        <f>RANK(I789, I$2:I$1111, 0)</f>
        <v/>
      </c>
      <c r="K789">
        <f>SUM(C789)</f>
        <v/>
      </c>
      <c r="L789">
        <f>SUM(K789,D789)</f>
        <v/>
      </c>
      <c r="M789">
        <f>SUM(L789,E789,F789)</f>
        <v/>
      </c>
      <c r="N789">
        <f>IF(L789=0, -1, K789/L789)</f>
        <v/>
      </c>
      <c r="O789">
        <f>IF(M789=0, -1, K789/M789)</f>
        <v/>
      </c>
      <c r="P789">
        <f>IF(M789=0, -1, L789/M789)</f>
        <v/>
      </c>
    </row>
    <row r="790">
      <c r="A790" t="inlineStr">
        <is>
          <t>RC00324</t>
        </is>
      </c>
      <c r="B790" t="inlineStr">
        <is>
          <t>黑龙江工业学院</t>
        </is>
      </c>
      <c r="C790" t="n">
        <v>0</v>
      </c>
      <c r="D790" t="n">
        <v>0</v>
      </c>
      <c r="E790" t="n">
        <v>0</v>
      </c>
      <c r="F790" t="n">
        <v>5</v>
      </c>
      <c r="G790" t="n">
        <v>7678.871159930703</v>
      </c>
      <c r="H790" t="n">
        <v>26.21915492672399</v>
      </c>
      <c r="I790">
        <f>IF(H790=0, 0, G790/H790)</f>
        <v/>
      </c>
      <c r="J790">
        <f>RANK(I790, I$2:I$1111, 0)</f>
        <v/>
      </c>
      <c r="K790">
        <f>SUM(C790)</f>
        <v/>
      </c>
      <c r="L790">
        <f>SUM(K790,D790)</f>
        <v/>
      </c>
      <c r="M790">
        <f>SUM(L790,E790,F790)</f>
        <v/>
      </c>
      <c r="N790">
        <f>IF(L790=0, -1, K790/L790)</f>
        <v/>
      </c>
      <c r="O790">
        <f>IF(M790=0, -1, K790/M790)</f>
        <v/>
      </c>
      <c r="P790">
        <f>IF(M790=0, -1, L790/M790)</f>
        <v/>
      </c>
    </row>
    <row r="791">
      <c r="A791" t="inlineStr">
        <is>
          <t>RC00953</t>
        </is>
      </c>
      <c r="B791" t="inlineStr">
        <is>
          <t>银川能源学院</t>
        </is>
      </c>
      <c r="C791" t="n">
        <v>0</v>
      </c>
      <c r="D791" t="n">
        <v>0</v>
      </c>
      <c r="E791" t="n">
        <v>0</v>
      </c>
      <c r="F791" t="n">
        <v>1</v>
      </c>
      <c r="G791" t="n">
        <v>855.8573609540513</v>
      </c>
      <c r="H791" t="n">
        <v>4.127134385045092</v>
      </c>
      <c r="I791">
        <f>IF(H791=0, 0, G791/H791)</f>
        <v/>
      </c>
      <c r="J791">
        <f>RANK(I791, I$2:I$1111, 0)</f>
        <v/>
      </c>
      <c r="K791">
        <f>SUM(C791)</f>
        <v/>
      </c>
      <c r="L791">
        <f>SUM(K791,D791)</f>
        <v/>
      </c>
      <c r="M791">
        <f>SUM(L791,E791,F791)</f>
        <v/>
      </c>
      <c r="N791">
        <f>IF(L791=0, -1, K791/L791)</f>
        <v/>
      </c>
      <c r="O791">
        <f>IF(M791=0, -1, K791/M791)</f>
        <v/>
      </c>
      <c r="P791">
        <f>IF(M791=0, -1, L791/M791)</f>
        <v/>
      </c>
    </row>
    <row r="792">
      <c r="A792" t="inlineStr">
        <is>
          <t>RC01191</t>
        </is>
      </c>
      <c r="B792" t="inlineStr">
        <is>
          <t>重庆城市科技学院</t>
        </is>
      </c>
      <c r="C792" t="n">
        <v>1</v>
      </c>
      <c r="D792" t="n">
        <v>0</v>
      </c>
      <c r="E792" t="n">
        <v>0</v>
      </c>
      <c r="F792" t="n">
        <v>2</v>
      </c>
      <c r="G792" t="n">
        <v>3280.40548960353</v>
      </c>
      <c r="H792" t="n">
        <v>8.679312040892672</v>
      </c>
      <c r="I792">
        <f>IF(H792=0, 0, G792/H792)</f>
        <v/>
      </c>
      <c r="J792">
        <f>RANK(I792, I$2:I$1111, 0)</f>
        <v/>
      </c>
      <c r="K792">
        <f>SUM(C792)</f>
        <v/>
      </c>
      <c r="L792">
        <f>SUM(K792,D792)</f>
        <v/>
      </c>
      <c r="M792">
        <f>SUM(L792,E792,F792)</f>
        <v/>
      </c>
      <c r="N792">
        <f>IF(L792=0, -1, K792/L792)</f>
        <v/>
      </c>
      <c r="O792">
        <f>IF(M792=0, -1, K792/M792)</f>
        <v/>
      </c>
      <c r="P792">
        <f>IF(M792=0, -1, L792/M792)</f>
        <v/>
      </c>
    </row>
    <row r="793">
      <c r="A793" t="inlineStr">
        <is>
          <t>RC00896</t>
        </is>
      </c>
      <c r="B793" t="inlineStr">
        <is>
          <t>齐鲁理工学院</t>
        </is>
      </c>
      <c r="C793" t="n">
        <v>0</v>
      </c>
      <c r="D793" t="n">
        <v>0</v>
      </c>
      <c r="E793" t="n">
        <v>0</v>
      </c>
      <c r="F793" t="n">
        <v>8</v>
      </c>
      <c r="G793" t="n">
        <v>9278.150025894804</v>
      </c>
      <c r="H793" t="n">
        <v>32.73815887191864</v>
      </c>
      <c r="I793">
        <f>IF(H793=0, 0, G793/H793)</f>
        <v/>
      </c>
      <c r="J793">
        <f>RANK(I793, I$2:I$1111, 0)</f>
        <v/>
      </c>
      <c r="K793">
        <f>SUM(C793)</f>
        <v/>
      </c>
      <c r="L793">
        <f>SUM(K793,D793)</f>
        <v/>
      </c>
      <c r="M793">
        <f>SUM(L793,E793,F793)</f>
        <v/>
      </c>
      <c r="N793">
        <f>IF(L793=0, -1, K793/L793)</f>
        <v/>
      </c>
      <c r="O793">
        <f>IF(M793=0, -1, K793/M793)</f>
        <v/>
      </c>
      <c r="P793">
        <f>IF(M793=0, -1, L793/M793)</f>
        <v/>
      </c>
    </row>
    <row r="794">
      <c r="A794" t="inlineStr">
        <is>
          <t>RC00891</t>
        </is>
      </c>
      <c r="B794" t="inlineStr">
        <is>
          <t>青岛恒星科技学院</t>
        </is>
      </c>
      <c r="C794" t="n">
        <v>0</v>
      </c>
      <c r="D794" t="n">
        <v>0</v>
      </c>
      <c r="E794" t="n">
        <v>0</v>
      </c>
      <c r="F794" t="n">
        <v>1</v>
      </c>
      <c r="G794" t="n">
        <v>395.2629990268605</v>
      </c>
      <c r="H794" t="n">
        <v>1.945910149055313</v>
      </c>
      <c r="I794">
        <f>IF(H794=0, 0, G794/H794)</f>
        <v/>
      </c>
      <c r="J794">
        <f>RANK(I794, I$2:I$1111, 0)</f>
        <v/>
      </c>
      <c r="K794">
        <f>SUM(C794)</f>
        <v/>
      </c>
      <c r="L794">
        <f>SUM(K794,D794)</f>
        <v/>
      </c>
      <c r="M794">
        <f>SUM(L794,E794,F794)</f>
        <v/>
      </c>
      <c r="N794">
        <f>IF(L794=0, -1, K794/L794)</f>
        <v/>
      </c>
      <c r="O794">
        <f>IF(M794=0, -1, K794/M794)</f>
        <v/>
      </c>
      <c r="P794">
        <f>IF(M794=0, -1, L794/M794)</f>
        <v/>
      </c>
    </row>
    <row r="795">
      <c r="A795" t="inlineStr">
        <is>
          <t>RC00096</t>
        </is>
      </c>
      <c r="B795" t="inlineStr">
        <is>
          <t>重庆医科大学</t>
        </is>
      </c>
      <c r="C795" t="n">
        <v>2</v>
      </c>
      <c r="D795" t="n">
        <v>5</v>
      </c>
      <c r="E795" t="n">
        <v>17</v>
      </c>
      <c r="F795" t="n">
        <v>4</v>
      </c>
      <c r="G795" t="n">
        <v>74952.25479092399</v>
      </c>
      <c r="H795" t="n">
        <v>110.30754012064</v>
      </c>
      <c r="I795">
        <f>IF(H795=0, 0, G795/H795)</f>
        <v/>
      </c>
      <c r="J795">
        <f>RANK(I795, I$2:I$1111, 0)</f>
        <v/>
      </c>
      <c r="K795">
        <f>SUM(C795)</f>
        <v/>
      </c>
      <c r="L795">
        <f>SUM(K795,D795)</f>
        <v/>
      </c>
      <c r="M795">
        <f>SUM(L795,E795,F795)</f>
        <v/>
      </c>
      <c r="N795">
        <f>IF(L795=0, -1, K795/L795)</f>
        <v/>
      </c>
      <c r="O795">
        <f>IF(M795=0, -1, K795/M795)</f>
        <v/>
      </c>
      <c r="P795">
        <f>IF(M795=0, -1, L795/M795)</f>
        <v/>
      </c>
    </row>
    <row r="796">
      <c r="A796" t="inlineStr">
        <is>
          <t>RC00401</t>
        </is>
      </c>
      <c r="B796" t="inlineStr">
        <is>
          <t>安徽理工大学</t>
        </is>
      </c>
      <c r="C796" t="n">
        <v>0</v>
      </c>
      <c r="D796" t="n">
        <v>2</v>
      </c>
      <c r="E796" t="n">
        <v>34</v>
      </c>
      <c r="F796" t="n">
        <v>23</v>
      </c>
      <c r="G796" t="n">
        <v>123343.4866266175</v>
      </c>
      <c r="H796" t="n">
        <v>274.1913388491799</v>
      </c>
      <c r="I796">
        <f>IF(H796=0, 0, G796/H796)</f>
        <v/>
      </c>
      <c r="J796">
        <f>RANK(I796, I$2:I$1111, 0)</f>
        <v/>
      </c>
      <c r="K796">
        <f>SUM(C796)</f>
        <v/>
      </c>
      <c r="L796">
        <f>SUM(K796,D796)</f>
        <v/>
      </c>
      <c r="M796">
        <f>SUM(L796,E796,F796)</f>
        <v/>
      </c>
      <c r="N796">
        <f>IF(L796=0, -1, K796/L796)</f>
        <v/>
      </c>
      <c r="O796">
        <f>IF(M796=0, -1, K796/M796)</f>
        <v/>
      </c>
      <c r="P796">
        <f>IF(M796=0, -1, L796/M796)</f>
        <v/>
      </c>
    </row>
    <row r="797">
      <c r="A797" t="inlineStr">
        <is>
          <t>RC00047</t>
        </is>
      </c>
      <c r="B797" t="inlineStr">
        <is>
          <t>南京医科大学</t>
        </is>
      </c>
      <c r="C797" t="n">
        <v>3</v>
      </c>
      <c r="D797" t="n">
        <v>11</v>
      </c>
      <c r="E797" t="n">
        <v>10</v>
      </c>
      <c r="F797" t="n">
        <v>1</v>
      </c>
      <c r="G797" t="n">
        <v>71011.39523994456</v>
      </c>
      <c r="H797" t="n">
        <v>94.14408086396952</v>
      </c>
      <c r="I797">
        <f>IF(H797=0, 0, G797/H797)</f>
        <v/>
      </c>
      <c r="J797">
        <f>RANK(I797, I$2:I$1111, 0)</f>
        <v/>
      </c>
      <c r="K797">
        <f>SUM(C797)</f>
        <v/>
      </c>
      <c r="L797">
        <f>SUM(K797,D797)</f>
        <v/>
      </c>
      <c r="M797">
        <f>SUM(L797,E797,F797)</f>
        <v/>
      </c>
      <c r="N797">
        <f>IF(L797=0, -1, K797/L797)</f>
        <v/>
      </c>
      <c r="O797">
        <f>IF(M797=0, -1, K797/M797)</f>
        <v/>
      </c>
      <c r="P797">
        <f>IF(M797=0, -1, L797/M797)</f>
        <v/>
      </c>
    </row>
    <row r="798">
      <c r="A798" t="inlineStr">
        <is>
          <t>RC00871</t>
        </is>
      </c>
      <c r="B798" t="inlineStr">
        <is>
          <t>温州肯恩大学</t>
        </is>
      </c>
      <c r="C798" t="n">
        <v>0</v>
      </c>
      <c r="D798" t="n">
        <v>0</v>
      </c>
      <c r="E798" t="n">
        <v>3</v>
      </c>
      <c r="F798" t="n">
        <v>5</v>
      </c>
      <c r="G798" t="n">
        <v>15139.88900185547</v>
      </c>
      <c r="H798" t="n">
        <v>44.91831027575704</v>
      </c>
      <c r="I798">
        <f>IF(H798=0, 0, G798/H798)</f>
        <v/>
      </c>
      <c r="J798">
        <f>RANK(I798, I$2:I$1111, 0)</f>
        <v/>
      </c>
      <c r="K798">
        <f>SUM(C798)</f>
        <v/>
      </c>
      <c r="L798">
        <f>SUM(K798,D798)</f>
        <v/>
      </c>
      <c r="M798">
        <f>SUM(L798,E798,F798)</f>
        <v/>
      </c>
      <c r="N798">
        <f>IF(L798=0, -1, K798/L798)</f>
        <v/>
      </c>
      <c r="O798">
        <f>IF(M798=0, -1, K798/M798)</f>
        <v/>
      </c>
      <c r="P798">
        <f>IF(M798=0, -1, L798/M798)</f>
        <v/>
      </c>
    </row>
    <row r="799">
      <c r="A799" t="inlineStr">
        <is>
          <t>RC00815</t>
        </is>
      </c>
      <c r="B799" t="inlineStr">
        <is>
          <t>深圳技术大学</t>
        </is>
      </c>
      <c r="C799" t="n">
        <v>0</v>
      </c>
      <c r="D799" t="n">
        <v>0</v>
      </c>
      <c r="E799" t="n">
        <v>14</v>
      </c>
      <c r="F799" t="n">
        <v>17</v>
      </c>
      <c r="G799" t="n">
        <v>56155.80610915147</v>
      </c>
      <c r="H799" t="n">
        <v>146.143652170118</v>
      </c>
      <c r="I799">
        <f>IF(H799=0, 0, G799/H799)</f>
        <v/>
      </c>
      <c r="J799">
        <f>RANK(I799, I$2:I$1111, 0)</f>
        <v/>
      </c>
      <c r="K799">
        <f>SUM(C799)</f>
        <v/>
      </c>
      <c r="L799">
        <f>SUM(K799,D799)</f>
        <v/>
      </c>
      <c r="M799">
        <f>SUM(L799,E799,F799)</f>
        <v/>
      </c>
      <c r="N799">
        <f>IF(L799=0, -1, K799/L799)</f>
        <v/>
      </c>
      <c r="O799">
        <f>IF(M799=0, -1, K799/M799)</f>
        <v/>
      </c>
      <c r="P799">
        <f>IF(M799=0, -1, L799/M799)</f>
        <v/>
      </c>
    </row>
    <row r="800">
      <c r="A800" t="inlineStr">
        <is>
          <t>RC00247</t>
        </is>
      </c>
      <c r="B800" t="inlineStr">
        <is>
          <t>沈阳理工大学</t>
        </is>
      </c>
      <c r="C800" t="n">
        <v>0</v>
      </c>
      <c r="D800" t="n">
        <v>0</v>
      </c>
      <c r="E800" t="n">
        <v>10</v>
      </c>
      <c r="F800" t="n">
        <v>21</v>
      </c>
      <c r="G800" t="n">
        <v>56340.26278069656</v>
      </c>
      <c r="H800" t="n">
        <v>147.0854842842126</v>
      </c>
      <c r="I800">
        <f>IF(H800=0, 0, G800/H800)</f>
        <v/>
      </c>
      <c r="J800">
        <f>RANK(I800, I$2:I$1111, 0)</f>
        <v/>
      </c>
      <c r="K800">
        <f>SUM(C800)</f>
        <v/>
      </c>
      <c r="L800">
        <f>SUM(K800,D800)</f>
        <v/>
      </c>
      <c r="M800">
        <f>SUM(L800,E800,F800)</f>
        <v/>
      </c>
      <c r="N800">
        <f>IF(L800=0, -1, K800/L800)</f>
        <v/>
      </c>
      <c r="O800">
        <f>IF(M800=0, -1, K800/M800)</f>
        <v/>
      </c>
      <c r="P800">
        <f>IF(M800=0, -1, L800/M800)</f>
        <v/>
      </c>
    </row>
    <row r="801">
      <c r="A801" t="inlineStr">
        <is>
          <t>RC00255</t>
        </is>
      </c>
      <c r="B801" t="inlineStr">
        <is>
          <t>沈阳建筑大学</t>
        </is>
      </c>
      <c r="C801" t="n">
        <v>0</v>
      </c>
      <c r="D801" t="n">
        <v>2</v>
      </c>
      <c r="E801" t="n">
        <v>21</v>
      </c>
      <c r="F801" t="n">
        <v>15</v>
      </c>
      <c r="G801" t="n">
        <v>82983.17047480629</v>
      </c>
      <c r="H801" t="n">
        <v>186.2698213814654</v>
      </c>
      <c r="I801">
        <f>IF(H801=0, 0, G801/H801)</f>
        <v/>
      </c>
      <c r="J801">
        <f>RANK(I801, I$2:I$1111, 0)</f>
        <v/>
      </c>
      <c r="K801">
        <f>SUM(C801)</f>
        <v/>
      </c>
      <c r="L801">
        <f>SUM(K801,D801)</f>
        <v/>
      </c>
      <c r="M801">
        <f>SUM(L801,E801,F801)</f>
        <v/>
      </c>
      <c r="N801">
        <f>IF(L801=0, -1, K801/L801)</f>
        <v/>
      </c>
      <c r="O801">
        <f>IF(M801=0, -1, K801/M801)</f>
        <v/>
      </c>
      <c r="P801">
        <f>IF(M801=0, -1, L801/M801)</f>
        <v/>
      </c>
    </row>
    <row r="802">
      <c r="A802" t="inlineStr">
        <is>
          <t>RC00206</t>
        </is>
      </c>
      <c r="B802" t="inlineStr">
        <is>
          <t>北华航天工业学院</t>
        </is>
      </c>
      <c r="C802" t="n">
        <v>0</v>
      </c>
      <c r="D802" t="n">
        <v>0</v>
      </c>
      <c r="E802" t="n">
        <v>6</v>
      </c>
      <c r="F802" t="n">
        <v>24</v>
      </c>
      <c r="G802" t="n">
        <v>52569.36026907106</v>
      </c>
      <c r="H802" t="n">
        <v>150.6747270897613</v>
      </c>
      <c r="I802">
        <f>IF(H802=0, 0, G802/H802)</f>
        <v/>
      </c>
      <c r="J802">
        <f>RANK(I802, I$2:I$1111, 0)</f>
        <v/>
      </c>
      <c r="K802">
        <f>SUM(C802)</f>
        <v/>
      </c>
      <c r="L802">
        <f>SUM(K802,D802)</f>
        <v/>
      </c>
      <c r="M802">
        <f>SUM(L802,E802,F802)</f>
        <v/>
      </c>
      <c r="N802">
        <f>IF(L802=0, -1, K802/L802)</f>
        <v/>
      </c>
      <c r="O802">
        <f>IF(M802=0, -1, K802/M802)</f>
        <v/>
      </c>
      <c r="P802">
        <f>IF(M802=0, -1, L802/M802)</f>
        <v/>
      </c>
    </row>
    <row r="803">
      <c r="A803" t="inlineStr">
        <is>
          <t>RC00379</t>
        </is>
      </c>
      <c r="B803" t="inlineStr">
        <is>
          <t>浙江中医药大学</t>
        </is>
      </c>
      <c r="C803" t="n">
        <v>2</v>
      </c>
      <c r="D803" t="n">
        <v>7</v>
      </c>
      <c r="E803" t="n">
        <v>11</v>
      </c>
      <c r="F803" t="n">
        <v>10</v>
      </c>
      <c r="G803" t="n">
        <v>74329.54714909056</v>
      </c>
      <c r="H803" t="n">
        <v>123.7365849500429</v>
      </c>
      <c r="I803">
        <f>IF(H803=0, 0, G803/H803)</f>
        <v/>
      </c>
      <c r="J803">
        <f>RANK(I803, I$2:I$1111, 0)</f>
        <v/>
      </c>
      <c r="K803">
        <f>SUM(C803)</f>
        <v/>
      </c>
      <c r="L803">
        <f>SUM(K803,D803)</f>
        <v/>
      </c>
      <c r="M803">
        <f>SUM(L803,E803,F803)</f>
        <v/>
      </c>
      <c r="N803">
        <f>IF(L803=0, -1, K803/L803)</f>
        <v/>
      </c>
      <c r="O803">
        <f>IF(M803=0, -1, K803/M803)</f>
        <v/>
      </c>
      <c r="P803">
        <f>IF(M803=0, -1, L803/M803)</f>
        <v/>
      </c>
    </row>
    <row r="804">
      <c r="A804" t="inlineStr">
        <is>
          <t>RC00624</t>
        </is>
      </c>
      <c r="B804" t="inlineStr">
        <is>
          <t>右江民族医学院</t>
        </is>
      </c>
      <c r="C804" t="n">
        <v>0</v>
      </c>
      <c r="D804" t="n">
        <v>0</v>
      </c>
      <c r="E804" t="n">
        <v>1</v>
      </c>
      <c r="F804" t="n">
        <v>8</v>
      </c>
      <c r="G804" t="n">
        <v>16028.03031944347</v>
      </c>
      <c r="H804" t="n">
        <v>44.97111890753154</v>
      </c>
      <c r="I804">
        <f>IF(H804=0, 0, G804/H804)</f>
        <v/>
      </c>
      <c r="J804">
        <f>RANK(I804, I$2:I$1111, 0)</f>
        <v/>
      </c>
      <c r="K804">
        <f>SUM(C804)</f>
        <v/>
      </c>
      <c r="L804">
        <f>SUM(K804,D804)</f>
        <v/>
      </c>
      <c r="M804">
        <f>SUM(L804,E804,F804)</f>
        <v/>
      </c>
      <c r="N804">
        <f>IF(L804=0, -1, K804/L804)</f>
        <v/>
      </c>
      <c r="O804">
        <f>IF(M804=0, -1, K804/M804)</f>
        <v/>
      </c>
      <c r="P804">
        <f>IF(M804=0, -1, L804/M804)</f>
        <v/>
      </c>
    </row>
    <row r="805">
      <c r="A805" t="inlineStr">
        <is>
          <t>RC00252</t>
        </is>
      </c>
      <c r="B805" t="inlineStr">
        <is>
          <t>大连交通大学</t>
        </is>
      </c>
      <c r="C805" t="n">
        <v>0</v>
      </c>
      <c r="D805" t="n">
        <v>0</v>
      </c>
      <c r="E805" t="n">
        <v>20</v>
      </c>
      <c r="F805" t="n">
        <v>19</v>
      </c>
      <c r="G805" t="n">
        <v>80021.46963971097</v>
      </c>
      <c r="H805" t="n">
        <v>192.5416793943044</v>
      </c>
      <c r="I805">
        <f>IF(H805=0, 0, G805/H805)</f>
        <v/>
      </c>
      <c r="J805">
        <f>RANK(I805, I$2:I$1111, 0)</f>
        <v/>
      </c>
      <c r="K805">
        <f>SUM(C805)</f>
        <v/>
      </c>
      <c r="L805">
        <f>SUM(K805,D805)</f>
        <v/>
      </c>
      <c r="M805">
        <f>SUM(L805,E805,F805)</f>
        <v/>
      </c>
      <c r="N805">
        <f>IF(L805=0, -1, K805/L805)</f>
        <v/>
      </c>
      <c r="O805">
        <f>IF(M805=0, -1, K805/M805)</f>
        <v/>
      </c>
      <c r="P805">
        <f>IF(M805=0, -1, L805/M805)</f>
        <v/>
      </c>
    </row>
    <row r="806">
      <c r="A806" t="inlineStr">
        <is>
          <t>RC00234</t>
        </is>
      </c>
      <c r="B806" t="inlineStr">
        <is>
          <t>内蒙古农业大学</t>
        </is>
      </c>
      <c r="C806" t="n">
        <v>3</v>
      </c>
      <c r="D806" t="n">
        <v>0</v>
      </c>
      <c r="E806" t="n">
        <v>6</v>
      </c>
      <c r="F806" t="n">
        <v>37</v>
      </c>
      <c r="G806" t="n">
        <v>75304.45804310156</v>
      </c>
      <c r="H806" t="n">
        <v>191.415516856904</v>
      </c>
      <c r="I806">
        <f>IF(H806=0, 0, G806/H806)</f>
        <v/>
      </c>
      <c r="J806">
        <f>RANK(I806, I$2:I$1111, 0)</f>
        <v/>
      </c>
      <c r="K806">
        <f>SUM(C806)</f>
        <v/>
      </c>
      <c r="L806">
        <f>SUM(K806,D806)</f>
        <v/>
      </c>
      <c r="M806">
        <f>SUM(L806,E806,F806)</f>
        <v/>
      </c>
      <c r="N806">
        <f>IF(L806=0, -1, K806/L806)</f>
        <v/>
      </c>
      <c r="O806">
        <f>IF(M806=0, -1, K806/M806)</f>
        <v/>
      </c>
      <c r="P806">
        <f>IF(M806=0, -1, L806/M806)</f>
        <v/>
      </c>
    </row>
    <row r="807">
      <c r="A807" t="inlineStr">
        <is>
          <t>RC00254</t>
        </is>
      </c>
      <c r="B807" t="inlineStr">
        <is>
          <t>大连工业大学</t>
        </is>
      </c>
      <c r="C807" t="n">
        <v>2</v>
      </c>
      <c r="D807" t="n">
        <v>2</v>
      </c>
      <c r="E807" t="n">
        <v>15</v>
      </c>
      <c r="F807" t="n">
        <v>19</v>
      </c>
      <c r="G807" t="n">
        <v>76793.61530331901</v>
      </c>
      <c r="H807" t="n">
        <v>169.8322697567789</v>
      </c>
      <c r="I807">
        <f>IF(H807=0, 0, G807/H807)</f>
        <v/>
      </c>
      <c r="J807">
        <f>RANK(I807, I$2:I$1111, 0)</f>
        <v/>
      </c>
      <c r="K807">
        <f>SUM(C807)</f>
        <v/>
      </c>
      <c r="L807">
        <f>SUM(K807,D807)</f>
        <v/>
      </c>
      <c r="M807">
        <f>SUM(L807,E807,F807)</f>
        <v/>
      </c>
      <c r="N807">
        <f>IF(L807=0, -1, K807/L807)</f>
        <v/>
      </c>
      <c r="O807">
        <f>IF(M807=0, -1, K807/M807)</f>
        <v/>
      </c>
      <c r="P807">
        <f>IF(M807=0, -1, L807/M807)</f>
        <v/>
      </c>
    </row>
    <row r="808">
      <c r="A808" t="inlineStr">
        <is>
          <t>RC01176</t>
        </is>
      </c>
      <c r="B808" t="inlineStr">
        <is>
          <t>广东外语外贸大学南国商学院</t>
        </is>
      </c>
      <c r="C808" t="n">
        <v>0</v>
      </c>
      <c r="D808" t="n">
        <v>0</v>
      </c>
      <c r="E808" t="n">
        <v>0</v>
      </c>
      <c r="F808" t="n">
        <v>3</v>
      </c>
      <c r="G808" t="n">
        <v>3536.300305102789</v>
      </c>
      <c r="H808" t="n">
        <v>12.76968045473513</v>
      </c>
      <c r="I808">
        <f>IF(H808=0, 0, G808/H808)</f>
        <v/>
      </c>
      <c r="J808">
        <f>RANK(I808, I$2:I$1111, 0)</f>
        <v/>
      </c>
      <c r="K808">
        <f>SUM(C808)</f>
        <v/>
      </c>
      <c r="L808">
        <f>SUM(K808,D808)</f>
        <v/>
      </c>
      <c r="M808">
        <f>SUM(L808,E808,F808)</f>
        <v/>
      </c>
      <c r="N808">
        <f>IF(L808=0, -1, K808/L808)</f>
        <v/>
      </c>
      <c r="O808">
        <f>IF(M808=0, -1, K808/M808)</f>
        <v/>
      </c>
      <c r="P808">
        <f>IF(M808=0, -1, L808/M808)</f>
        <v/>
      </c>
    </row>
    <row r="809">
      <c r="A809" t="inlineStr">
        <is>
          <t>RC00875</t>
        </is>
      </c>
      <c r="B809" t="inlineStr">
        <is>
          <t>安徽外国语学院</t>
        </is>
      </c>
      <c r="C809" t="n">
        <v>0</v>
      </c>
      <c r="D809" t="n">
        <v>0</v>
      </c>
      <c r="E809" t="n">
        <v>0</v>
      </c>
      <c r="F809" t="n">
        <v>1</v>
      </c>
      <c r="G809" t="n">
        <v>1815.729577731691</v>
      </c>
      <c r="H809" t="n">
        <v>5.525452939131783</v>
      </c>
      <c r="I809">
        <f>IF(H809=0, 0, G809/H809)</f>
        <v/>
      </c>
      <c r="J809">
        <f>RANK(I809, I$2:I$1111, 0)</f>
        <v/>
      </c>
      <c r="K809">
        <f>SUM(C809)</f>
        <v/>
      </c>
      <c r="L809">
        <f>SUM(K809,D809)</f>
        <v/>
      </c>
      <c r="M809">
        <f>SUM(L809,E809,F809)</f>
        <v/>
      </c>
      <c r="N809">
        <f>IF(L809=0, -1, K809/L809)</f>
        <v/>
      </c>
      <c r="O809">
        <f>IF(M809=0, -1, K809/M809)</f>
        <v/>
      </c>
      <c r="P809">
        <f>IF(M809=0, -1, L809/M809)</f>
        <v/>
      </c>
    </row>
    <row r="810">
      <c r="A810" t="inlineStr">
        <is>
          <t>RC00946</t>
        </is>
      </c>
      <c r="B810" t="inlineStr">
        <is>
          <t>西安翻译学院</t>
        </is>
      </c>
      <c r="C810" t="n">
        <v>0</v>
      </c>
      <c r="D810" t="n">
        <v>0</v>
      </c>
      <c r="E810" t="n">
        <v>0</v>
      </c>
      <c r="F810" t="n">
        <v>2</v>
      </c>
      <c r="G810" t="n">
        <v>3146.270103354438</v>
      </c>
      <c r="H810" t="n">
        <v>10.99790773325203</v>
      </c>
      <c r="I810">
        <f>IF(H810=0, 0, G810/H810)</f>
        <v/>
      </c>
      <c r="J810">
        <f>RANK(I810, I$2:I$1111, 0)</f>
        <v/>
      </c>
      <c r="K810">
        <f>SUM(C810)</f>
        <v/>
      </c>
      <c r="L810">
        <f>SUM(K810,D810)</f>
        <v/>
      </c>
      <c r="M810">
        <f>SUM(L810,E810,F810)</f>
        <v/>
      </c>
      <c r="N810">
        <f>IF(L810=0, -1, K810/L810)</f>
        <v/>
      </c>
      <c r="O810">
        <f>IF(M810=0, -1, K810/M810)</f>
        <v/>
      </c>
      <c r="P810">
        <f>IF(M810=0, -1, L810/M810)</f>
        <v/>
      </c>
    </row>
    <row r="811">
      <c r="A811" t="inlineStr">
        <is>
          <t>RC00513</t>
        </is>
      </c>
      <c r="B811" t="inlineStr">
        <is>
          <t>新乡医学院</t>
        </is>
      </c>
      <c r="C811" t="n">
        <v>1</v>
      </c>
      <c r="D811" t="n">
        <v>0</v>
      </c>
      <c r="E811" t="n">
        <v>6</v>
      </c>
      <c r="F811" t="n">
        <v>20</v>
      </c>
      <c r="G811" t="n">
        <v>50483.7069746097</v>
      </c>
      <c r="H811" t="n">
        <v>116.113950396763</v>
      </c>
      <c r="I811">
        <f>IF(H811=0, 0, G811/H811)</f>
        <v/>
      </c>
      <c r="J811">
        <f>RANK(I811, I$2:I$1111, 0)</f>
        <v/>
      </c>
      <c r="K811">
        <f>SUM(C811)</f>
        <v/>
      </c>
      <c r="L811">
        <f>SUM(K811,D811)</f>
        <v/>
      </c>
      <c r="M811">
        <f>SUM(L811,E811,F811)</f>
        <v/>
      </c>
      <c r="N811">
        <f>IF(L811=0, -1, K811/L811)</f>
        <v/>
      </c>
      <c r="O811">
        <f>IF(M811=0, -1, K811/M811)</f>
        <v/>
      </c>
      <c r="P811">
        <f>IF(M811=0, -1, L811/M811)</f>
        <v/>
      </c>
    </row>
    <row r="812">
      <c r="A812" t="inlineStr">
        <is>
          <t>RC00638</t>
        </is>
      </c>
      <c r="B812" t="inlineStr">
        <is>
          <t>桂林航天工业学院</t>
        </is>
      </c>
      <c r="C812" t="n">
        <v>0</v>
      </c>
      <c r="D812" t="n">
        <v>0</v>
      </c>
      <c r="E812" t="n">
        <v>3</v>
      </c>
      <c r="F812" t="n">
        <v>16</v>
      </c>
      <c r="G812" t="n">
        <v>32084.42384392293</v>
      </c>
      <c r="H812" t="n">
        <v>95.00734175073038</v>
      </c>
      <c r="I812">
        <f>IF(H812=0, 0, G812/H812)</f>
        <v/>
      </c>
      <c r="J812">
        <f>RANK(I812, I$2:I$1111, 0)</f>
        <v/>
      </c>
      <c r="K812">
        <f>SUM(C812)</f>
        <v/>
      </c>
      <c r="L812">
        <f>SUM(K812,D812)</f>
        <v/>
      </c>
      <c r="M812">
        <f>SUM(L812,E812,F812)</f>
        <v/>
      </c>
      <c r="N812">
        <f>IF(L812=0, -1, K812/L812)</f>
        <v/>
      </c>
      <c r="O812">
        <f>IF(M812=0, -1, K812/M812)</f>
        <v/>
      </c>
      <c r="P812">
        <f>IF(M812=0, -1, L812/M812)</f>
        <v/>
      </c>
    </row>
    <row r="813">
      <c r="A813" t="inlineStr">
        <is>
          <t>RC00846</t>
        </is>
      </c>
      <c r="B813" t="inlineStr">
        <is>
          <t>黑龙江东方学院</t>
        </is>
      </c>
      <c r="C813" t="n">
        <v>0</v>
      </c>
      <c r="D813" t="n">
        <v>0</v>
      </c>
      <c r="E813" t="n">
        <v>0</v>
      </c>
      <c r="F813" t="n">
        <v>4</v>
      </c>
      <c r="G813" t="n">
        <v>6066.412658864689</v>
      </c>
      <c r="H813" t="n">
        <v>21.78018090444514</v>
      </c>
      <c r="I813">
        <f>IF(H813=0, 0, G813/H813)</f>
        <v/>
      </c>
      <c r="J813">
        <f>RANK(I813, I$2:I$1111, 0)</f>
        <v/>
      </c>
      <c r="K813">
        <f>SUM(C813)</f>
        <v/>
      </c>
      <c r="L813">
        <f>SUM(K813,D813)</f>
        <v/>
      </c>
      <c r="M813">
        <f>SUM(L813,E813,F813)</f>
        <v/>
      </c>
      <c r="N813">
        <f>IF(L813=0, -1, K813/L813)</f>
        <v/>
      </c>
      <c r="O813">
        <f>IF(M813=0, -1, K813/M813)</f>
        <v/>
      </c>
      <c r="P813">
        <f>IF(M813=0, -1, L813/M813)</f>
        <v/>
      </c>
    </row>
    <row r="814">
      <c r="A814" t="inlineStr">
        <is>
          <t>RC01141</t>
        </is>
      </c>
      <c r="B814" t="inlineStr">
        <is>
          <t>长江大学文理学院</t>
        </is>
      </c>
      <c r="C814" t="n">
        <v>0</v>
      </c>
      <c r="D814" t="n">
        <v>0</v>
      </c>
      <c r="E814" t="n">
        <v>0</v>
      </c>
      <c r="F814" t="n">
        <v>2</v>
      </c>
      <c r="G814" t="n">
        <v>2889.381332858256</v>
      </c>
      <c r="H814" t="n">
        <v>11.18379620260427</v>
      </c>
      <c r="I814">
        <f>IF(H814=0, 0, G814/H814)</f>
        <v/>
      </c>
      <c r="J814">
        <f>RANK(I814, I$2:I$1111, 0)</f>
        <v/>
      </c>
      <c r="K814">
        <f>SUM(C814)</f>
        <v/>
      </c>
      <c r="L814">
        <f>SUM(K814,D814)</f>
        <v/>
      </c>
      <c r="M814">
        <f>SUM(L814,E814,F814)</f>
        <v/>
      </c>
      <c r="N814">
        <f>IF(L814=0, -1, K814/L814)</f>
        <v/>
      </c>
      <c r="O814">
        <f>IF(M814=0, -1, K814/M814)</f>
        <v/>
      </c>
      <c r="P814">
        <f>IF(M814=0, -1, L814/M814)</f>
        <v/>
      </c>
    </row>
    <row r="815">
      <c r="A815" t="inlineStr">
        <is>
          <t>RC01123</t>
        </is>
      </c>
      <c r="B815" t="inlineStr">
        <is>
          <t>武汉学院</t>
        </is>
      </c>
      <c r="C815" t="n">
        <v>0</v>
      </c>
      <c r="D815" t="n">
        <v>0</v>
      </c>
      <c r="E815" t="n">
        <v>0</v>
      </c>
      <c r="F815" t="n">
        <v>2</v>
      </c>
      <c r="G815" t="n">
        <v>2899.361234164352</v>
      </c>
      <c r="H815" t="n">
        <v>9.481893062498081</v>
      </c>
      <c r="I815">
        <f>IF(H815=0, 0, G815/H815)</f>
        <v/>
      </c>
      <c r="J815">
        <f>RANK(I815, I$2:I$1111, 0)</f>
        <v/>
      </c>
      <c r="K815">
        <f>SUM(C815)</f>
        <v/>
      </c>
      <c r="L815">
        <f>SUM(K815,D815)</f>
        <v/>
      </c>
      <c r="M815">
        <f>SUM(L815,E815,F815)</f>
        <v/>
      </c>
      <c r="N815">
        <f>IF(L815=0, -1, K815/L815)</f>
        <v/>
      </c>
      <c r="O815">
        <f>IF(M815=0, -1, K815/M815)</f>
        <v/>
      </c>
      <c r="P815">
        <f>IF(M815=0, -1, L815/M815)</f>
        <v/>
      </c>
    </row>
    <row r="816">
      <c r="A816" t="inlineStr">
        <is>
          <t>RC00904</t>
        </is>
      </c>
      <c r="B816" t="inlineStr">
        <is>
          <t>郑州商学院</t>
        </is>
      </c>
      <c r="C816" t="n">
        <v>0</v>
      </c>
      <c r="D816" t="n">
        <v>0</v>
      </c>
      <c r="E816" t="n">
        <v>0</v>
      </c>
      <c r="F816" t="n">
        <v>3</v>
      </c>
      <c r="G816" t="n">
        <v>4640.001198573028</v>
      </c>
      <c r="H816" t="n">
        <v>14.56948939773046</v>
      </c>
      <c r="I816">
        <f>IF(H816=0, 0, G816/H816)</f>
        <v/>
      </c>
      <c r="J816">
        <f>RANK(I816, I$2:I$1111, 0)</f>
        <v/>
      </c>
      <c r="K816">
        <f>SUM(C816)</f>
        <v/>
      </c>
      <c r="L816">
        <f>SUM(K816,D816)</f>
        <v/>
      </c>
      <c r="M816">
        <f>SUM(L816,E816,F816)</f>
        <v/>
      </c>
      <c r="N816">
        <f>IF(L816=0, -1, K816/L816)</f>
        <v/>
      </c>
      <c r="O816">
        <f>IF(M816=0, -1, K816/M816)</f>
        <v/>
      </c>
      <c r="P816">
        <f>IF(M816=0, -1, L816/M816)</f>
        <v/>
      </c>
    </row>
    <row r="817">
      <c r="A817" t="inlineStr">
        <is>
          <t>RC00460</t>
        </is>
      </c>
      <c r="B817" t="inlineStr">
        <is>
          <t>新余学院</t>
        </is>
      </c>
      <c r="C817" t="n">
        <v>0</v>
      </c>
      <c r="D817" t="n">
        <v>0</v>
      </c>
      <c r="E817" t="n">
        <v>1</v>
      </c>
      <c r="F817" t="n">
        <v>7</v>
      </c>
      <c r="G817" t="n">
        <v>13040.08591494461</v>
      </c>
      <c r="H817" t="n">
        <v>42.97222756137519</v>
      </c>
      <c r="I817">
        <f>IF(H817=0, 0, G817/H817)</f>
        <v/>
      </c>
      <c r="J817">
        <f>RANK(I817, I$2:I$1111, 0)</f>
        <v/>
      </c>
      <c r="K817">
        <f>SUM(C817)</f>
        <v/>
      </c>
      <c r="L817">
        <f>SUM(K817,D817)</f>
        <v/>
      </c>
      <c r="M817">
        <f>SUM(L817,E817,F817)</f>
        <v/>
      </c>
      <c r="N817">
        <f>IF(L817=0, -1, K817/L817)</f>
        <v/>
      </c>
      <c r="O817">
        <f>IF(M817=0, -1, K817/M817)</f>
        <v/>
      </c>
      <c r="P817">
        <f>IF(M817=0, -1, L817/M817)</f>
        <v/>
      </c>
    </row>
    <row r="818">
      <c r="A818" t="inlineStr">
        <is>
          <t>RC00874</t>
        </is>
      </c>
      <c r="B818" t="inlineStr">
        <is>
          <t>安徽文达信息工程学院</t>
        </is>
      </c>
      <c r="C818" t="n">
        <v>0</v>
      </c>
      <c r="D818" t="n">
        <v>0</v>
      </c>
      <c r="E818" t="n">
        <v>0</v>
      </c>
      <c r="F818" t="n">
        <v>2</v>
      </c>
      <c r="G818" t="n">
        <v>3438.043317536116</v>
      </c>
      <c r="H818" t="n">
        <v>10.41060631437079</v>
      </c>
      <c r="I818">
        <f>IF(H818=0, 0, G818/H818)</f>
        <v/>
      </c>
      <c r="J818">
        <f>RANK(I818, I$2:I$1111, 0)</f>
        <v/>
      </c>
      <c r="K818">
        <f>SUM(C818)</f>
        <v/>
      </c>
      <c r="L818">
        <f>SUM(K818,D818)</f>
        <v/>
      </c>
      <c r="M818">
        <f>SUM(L818,E818,F818)</f>
        <v/>
      </c>
      <c r="N818">
        <f>IF(L818=0, -1, K818/L818)</f>
        <v/>
      </c>
      <c r="O818">
        <f>IF(M818=0, -1, K818/M818)</f>
        <v/>
      </c>
      <c r="P818">
        <f>IF(M818=0, -1, L818/M818)</f>
        <v/>
      </c>
    </row>
    <row r="819">
      <c r="A819" t="inlineStr">
        <is>
          <t>RC01243</t>
        </is>
      </c>
      <c r="B819" t="inlineStr">
        <is>
          <t>河北水利电力学院</t>
        </is>
      </c>
      <c r="C819" t="n">
        <v>0</v>
      </c>
      <c r="D819" t="n">
        <v>0</v>
      </c>
      <c r="E819" t="n">
        <v>1</v>
      </c>
      <c r="F819" t="n">
        <v>11</v>
      </c>
      <c r="G819" t="n">
        <v>16097.74798193796</v>
      </c>
      <c r="H819" t="n">
        <v>53.26923077667475</v>
      </c>
      <c r="I819">
        <f>IF(H819=0, 0, G819/H819)</f>
        <v/>
      </c>
      <c r="J819">
        <f>RANK(I819, I$2:I$1111, 0)</f>
        <v/>
      </c>
      <c r="K819">
        <f>SUM(C819)</f>
        <v/>
      </c>
      <c r="L819">
        <f>SUM(K819,D819)</f>
        <v/>
      </c>
      <c r="M819">
        <f>SUM(L819,E819,F819)</f>
        <v/>
      </c>
      <c r="N819">
        <f>IF(L819=0, -1, K819/L819)</f>
        <v/>
      </c>
      <c r="O819">
        <f>IF(M819=0, -1, K819/M819)</f>
        <v/>
      </c>
      <c r="P819">
        <f>IF(M819=0, -1, L819/M819)</f>
        <v/>
      </c>
    </row>
    <row r="820">
      <c r="A820" t="inlineStr">
        <is>
          <t>RC00863</t>
        </is>
      </c>
      <c r="B820" t="inlineStr">
        <is>
          <t>无锡太湖学院</t>
        </is>
      </c>
      <c r="C820" t="n">
        <v>0</v>
      </c>
      <c r="D820" t="n">
        <v>0</v>
      </c>
      <c r="E820" t="n">
        <v>2</v>
      </c>
      <c r="F820" t="n">
        <v>5</v>
      </c>
      <c r="G820" t="n">
        <v>11986.17118503352</v>
      </c>
      <c r="H820" t="n">
        <v>37.95104398494191</v>
      </c>
      <c r="I820">
        <f>IF(H820=0, 0, G820/H820)</f>
        <v/>
      </c>
      <c r="J820">
        <f>RANK(I820, I$2:I$1111, 0)</f>
        <v/>
      </c>
      <c r="K820">
        <f>SUM(C820)</f>
        <v/>
      </c>
      <c r="L820">
        <f>SUM(K820,D820)</f>
        <v/>
      </c>
      <c r="M820">
        <f>SUM(L820,E820,F820)</f>
        <v/>
      </c>
      <c r="N820">
        <f>IF(L820=0, -1, K820/L820)</f>
        <v/>
      </c>
      <c r="O820">
        <f>IF(M820=0, -1, K820/M820)</f>
        <v/>
      </c>
      <c r="P820">
        <f>IF(M820=0, -1, L820/M820)</f>
        <v/>
      </c>
    </row>
    <row r="821">
      <c r="A821" t="inlineStr">
        <is>
          <t>RC01016</t>
        </is>
      </c>
      <c r="B821" t="inlineStr">
        <is>
          <t>长春人文学院</t>
        </is>
      </c>
      <c r="C821" t="n">
        <v>0</v>
      </c>
      <c r="D821" t="n">
        <v>0</v>
      </c>
      <c r="E821" t="n">
        <v>1</v>
      </c>
      <c r="F821" t="n">
        <v>1</v>
      </c>
      <c r="G821" t="n">
        <v>3678.72023516223</v>
      </c>
      <c r="H821" t="n">
        <v>10.66534423110322</v>
      </c>
      <c r="I821">
        <f>IF(H821=0, 0, G821/H821)</f>
        <v/>
      </c>
      <c r="J821">
        <f>RANK(I821, I$2:I$1111, 0)</f>
        <v/>
      </c>
      <c r="K821">
        <f>SUM(C821)</f>
        <v/>
      </c>
      <c r="L821">
        <f>SUM(K821,D821)</f>
        <v/>
      </c>
      <c r="M821">
        <f>SUM(L821,E821,F821)</f>
        <v/>
      </c>
      <c r="N821">
        <f>IF(L821=0, -1, K821/L821)</f>
        <v/>
      </c>
      <c r="O821">
        <f>IF(M821=0, -1, K821/M821)</f>
        <v/>
      </c>
      <c r="P821">
        <f>IF(M821=0, -1, L821/M821)</f>
        <v/>
      </c>
    </row>
    <row r="822">
      <c r="A822" t="inlineStr">
        <is>
          <t>RC00609</t>
        </is>
      </c>
      <c r="B822" t="inlineStr">
        <is>
          <t>广州航海学院</t>
        </is>
      </c>
      <c r="C822" t="n">
        <v>0</v>
      </c>
      <c r="D822" t="n">
        <v>0</v>
      </c>
      <c r="E822" t="n">
        <v>1</v>
      </c>
      <c r="F822" t="n">
        <v>14</v>
      </c>
      <c r="G822" t="n">
        <v>22712.35669656155</v>
      </c>
      <c r="H822" t="n">
        <v>69.15139905771471</v>
      </c>
      <c r="I822">
        <f>IF(H822=0, 0, G822/H822)</f>
        <v/>
      </c>
      <c r="J822">
        <f>RANK(I822, I$2:I$1111, 0)</f>
        <v/>
      </c>
      <c r="K822">
        <f>SUM(C822)</f>
        <v/>
      </c>
      <c r="L822">
        <f>SUM(K822,D822)</f>
        <v/>
      </c>
      <c r="M822">
        <f>SUM(L822,E822,F822)</f>
        <v/>
      </c>
      <c r="N822">
        <f>IF(L822=0, -1, K822/L822)</f>
        <v/>
      </c>
      <c r="O822">
        <f>IF(M822=0, -1, K822/M822)</f>
        <v/>
      </c>
      <c r="P822">
        <f>IF(M822=0, -1, L822/M822)</f>
        <v/>
      </c>
    </row>
    <row r="823">
      <c r="A823" t="inlineStr">
        <is>
          <t>RC00630</t>
        </is>
      </c>
      <c r="B823" t="inlineStr">
        <is>
          <t>河池学院</t>
        </is>
      </c>
      <c r="C823" t="n">
        <v>0</v>
      </c>
      <c r="D823" t="n">
        <v>0</v>
      </c>
      <c r="E823" t="n">
        <v>0</v>
      </c>
      <c r="F823" t="n">
        <v>4</v>
      </c>
      <c r="G823" t="n">
        <v>5781.876436275215</v>
      </c>
      <c r="H823" t="n">
        <v>22.52506701651577</v>
      </c>
      <c r="I823">
        <f>IF(H823=0, 0, G823/H823)</f>
        <v/>
      </c>
      <c r="J823">
        <f>RANK(I823, I$2:I$1111, 0)</f>
        <v/>
      </c>
      <c r="K823">
        <f>SUM(C823)</f>
        <v/>
      </c>
      <c r="L823">
        <f>SUM(K823,D823)</f>
        <v/>
      </c>
      <c r="M823">
        <f>SUM(L823,E823,F823)</f>
        <v/>
      </c>
      <c r="N823">
        <f>IF(L823=0, -1, K823/L823)</f>
        <v/>
      </c>
      <c r="O823">
        <f>IF(M823=0, -1, K823/M823)</f>
        <v/>
      </c>
      <c r="P823">
        <f>IF(M823=0, -1, L823/M823)</f>
        <v/>
      </c>
    </row>
    <row r="824">
      <c r="A824" t="inlineStr">
        <is>
          <t>RC01217</t>
        </is>
      </c>
      <c r="B824" t="inlineStr">
        <is>
          <t>西安交通大学城市学院</t>
        </is>
      </c>
      <c r="C824" t="n">
        <v>0</v>
      </c>
      <c r="D824" t="n">
        <v>0</v>
      </c>
      <c r="E824" t="n">
        <v>0</v>
      </c>
      <c r="F824" t="n">
        <v>2</v>
      </c>
      <c r="G824" t="n">
        <v>3092.919962154243</v>
      </c>
      <c r="H824" t="n">
        <v>10.31344256591714</v>
      </c>
      <c r="I824">
        <f>IF(H824=0, 0, G824/H824)</f>
        <v/>
      </c>
      <c r="J824">
        <f>RANK(I824, I$2:I$1111, 0)</f>
        <v/>
      </c>
      <c r="K824">
        <f>SUM(C824)</f>
        <v/>
      </c>
      <c r="L824">
        <f>SUM(K824,D824)</f>
        <v/>
      </c>
      <c r="M824">
        <f>SUM(L824,E824,F824)</f>
        <v/>
      </c>
      <c r="N824">
        <f>IF(L824=0, -1, K824/L824)</f>
        <v/>
      </c>
      <c r="O824">
        <f>IF(M824=0, -1, K824/M824)</f>
        <v/>
      </c>
      <c r="P824">
        <f>IF(M824=0, -1, L824/M824)</f>
        <v/>
      </c>
    </row>
    <row r="825">
      <c r="A825" t="inlineStr">
        <is>
          <t>RC00129</t>
        </is>
      </c>
      <c r="B825" t="inlineStr">
        <is>
          <t>北京印刷学院</t>
        </is>
      </c>
      <c r="C825" t="n">
        <v>1</v>
      </c>
      <c r="D825" t="n">
        <v>2</v>
      </c>
      <c r="E825" t="n">
        <v>14</v>
      </c>
      <c r="F825" t="n">
        <v>8</v>
      </c>
      <c r="G825" t="n">
        <v>56762.06478199458</v>
      </c>
      <c r="H825" t="n">
        <v>116.0967159846735</v>
      </c>
      <c r="I825">
        <f>IF(H825=0, 0, G825/H825)</f>
        <v/>
      </c>
      <c r="J825">
        <f>RANK(I825, I$2:I$1111, 0)</f>
        <v/>
      </c>
      <c r="K825">
        <f>SUM(C825)</f>
        <v/>
      </c>
      <c r="L825">
        <f>SUM(K825,D825)</f>
        <v/>
      </c>
      <c r="M825">
        <f>SUM(L825,E825,F825)</f>
        <v/>
      </c>
      <c r="N825">
        <f>IF(L825=0, -1, K825/L825)</f>
        <v/>
      </c>
      <c r="O825">
        <f>IF(M825=0, -1, K825/M825)</f>
        <v/>
      </c>
      <c r="P825">
        <f>IF(M825=0, -1, L825/M825)</f>
        <v/>
      </c>
    </row>
    <row r="826">
      <c r="A826" t="inlineStr">
        <is>
          <t>RC00500</t>
        </is>
      </c>
      <c r="B826" t="inlineStr">
        <is>
          <t>山东青年政治学院</t>
        </is>
      </c>
      <c r="C826" t="n">
        <v>0</v>
      </c>
      <c r="D826" t="n">
        <v>0</v>
      </c>
      <c r="E826" t="n">
        <v>7</v>
      </c>
      <c r="F826" t="n">
        <v>7</v>
      </c>
      <c r="G826" t="n">
        <v>24818.18845118797</v>
      </c>
      <c r="H826" t="n">
        <v>64.1892463164103</v>
      </c>
      <c r="I826">
        <f>IF(H826=0, 0, G826/H826)</f>
        <v/>
      </c>
      <c r="J826">
        <f>RANK(I826, I$2:I$1111, 0)</f>
        <v/>
      </c>
      <c r="K826">
        <f>SUM(C826)</f>
        <v/>
      </c>
      <c r="L826">
        <f>SUM(K826,D826)</f>
        <v/>
      </c>
      <c r="M826">
        <f>SUM(L826,E826,F826)</f>
        <v/>
      </c>
      <c r="N826">
        <f>IF(L826=0, -1, K826/L826)</f>
        <v/>
      </c>
      <c r="O826">
        <f>IF(M826=0, -1, K826/M826)</f>
        <v/>
      </c>
      <c r="P826">
        <f>IF(M826=0, -1, L826/M826)</f>
        <v/>
      </c>
    </row>
    <row r="827">
      <c r="A827" t="inlineStr">
        <is>
          <t>RC00229</t>
        </is>
      </c>
      <c r="B827" t="inlineStr">
        <is>
          <t>山西传媒学院</t>
        </is>
      </c>
      <c r="C827" t="n">
        <v>0</v>
      </c>
      <c r="D827" t="n">
        <v>0</v>
      </c>
      <c r="E827" t="n">
        <v>7</v>
      </c>
      <c r="F827" t="n">
        <v>9</v>
      </c>
      <c r="G827" t="n">
        <v>27727.4525071669</v>
      </c>
      <c r="H827" t="n">
        <v>62.75808551405224</v>
      </c>
      <c r="I827">
        <f>IF(H827=0, 0, G827/H827)</f>
        <v/>
      </c>
      <c r="J827">
        <f>RANK(I827, I$2:I$1111, 0)</f>
        <v/>
      </c>
      <c r="K827">
        <f>SUM(C827)</f>
        <v/>
      </c>
      <c r="L827">
        <f>SUM(K827,D827)</f>
        <v/>
      </c>
      <c r="M827">
        <f>SUM(L827,E827,F827)</f>
        <v/>
      </c>
      <c r="N827">
        <f>IF(L827=0, -1, K827/L827)</f>
        <v/>
      </c>
      <c r="O827">
        <f>IF(M827=0, -1, K827/M827)</f>
        <v/>
      </c>
      <c r="P827">
        <f>IF(M827=0, -1, L827/M827)</f>
        <v/>
      </c>
    </row>
    <row r="828">
      <c r="A828" t="inlineStr">
        <is>
          <t>RC00632</t>
        </is>
      </c>
      <c r="B828" t="inlineStr">
        <is>
          <t>广西艺术学院</t>
        </is>
      </c>
      <c r="C828" t="n">
        <v>0</v>
      </c>
      <c r="D828" t="n">
        <v>6</v>
      </c>
      <c r="E828" t="n">
        <v>9</v>
      </c>
      <c r="F828" t="n">
        <v>20</v>
      </c>
      <c r="G828" t="n">
        <v>70663.87338811022</v>
      </c>
      <c r="H828" t="n">
        <v>149.3532603439925</v>
      </c>
      <c r="I828">
        <f>IF(H828=0, 0, G828/H828)</f>
        <v/>
      </c>
      <c r="J828">
        <f>RANK(I828, I$2:I$1111, 0)</f>
        <v/>
      </c>
      <c r="K828">
        <f>SUM(C828)</f>
        <v/>
      </c>
      <c r="L828">
        <f>SUM(K828,D828)</f>
        <v/>
      </c>
      <c r="M828">
        <f>SUM(L828,E828,F828)</f>
        <v/>
      </c>
      <c r="N828">
        <f>IF(L828=0, -1, K828/L828)</f>
        <v/>
      </c>
      <c r="O828">
        <f>IF(M828=0, -1, K828/M828)</f>
        <v/>
      </c>
      <c r="P828">
        <f>IF(M828=0, -1, L828/M828)</f>
        <v/>
      </c>
    </row>
    <row r="829">
      <c r="A829" t="inlineStr">
        <is>
          <t>RC01040</t>
        </is>
      </c>
      <c r="B829" t="inlineStr">
        <is>
          <t>扬州大学广陵学院</t>
        </is>
      </c>
      <c r="C829" t="n">
        <v>0</v>
      </c>
      <c r="D829" t="n">
        <v>0</v>
      </c>
      <c r="E829" t="n">
        <v>1</v>
      </c>
      <c r="F829" t="n">
        <v>4</v>
      </c>
      <c r="G829" t="n">
        <v>6846.823461296292</v>
      </c>
      <c r="H829" t="n">
        <v>24.91939230483298</v>
      </c>
      <c r="I829">
        <f>IF(H829=0, 0, G829/H829)</f>
        <v/>
      </c>
      <c r="J829">
        <f>RANK(I829, I$2:I$1111, 0)</f>
        <v/>
      </c>
      <c r="K829">
        <f>SUM(C829)</f>
        <v/>
      </c>
      <c r="L829">
        <f>SUM(K829,D829)</f>
        <v/>
      </c>
      <c r="M829">
        <f>SUM(L829,E829,F829)</f>
        <v/>
      </c>
      <c r="N829">
        <f>IF(L829=0, -1, K829/L829)</f>
        <v/>
      </c>
      <c r="O829">
        <f>IF(M829=0, -1, K829/M829)</f>
        <v/>
      </c>
      <c r="P829">
        <f>IF(M829=0, -1, L829/M829)</f>
        <v/>
      </c>
    </row>
    <row r="830">
      <c r="A830" t="inlineStr">
        <is>
          <t>RC00359</t>
        </is>
      </c>
      <c r="B830" t="inlineStr">
        <is>
          <t>南京艺术学院</t>
        </is>
      </c>
      <c r="C830" t="n">
        <v>8</v>
      </c>
      <c r="D830" t="n">
        <v>20</v>
      </c>
      <c r="E830" t="n">
        <v>12</v>
      </c>
      <c r="F830" t="n">
        <v>1</v>
      </c>
      <c r="G830" t="n">
        <v>124374.1175516021</v>
      </c>
      <c r="H830" t="n">
        <v>162.3859037308066</v>
      </c>
      <c r="I830">
        <f>IF(H830=0, 0, G830/H830)</f>
        <v/>
      </c>
      <c r="J830">
        <f>RANK(I830, I$2:I$1111, 0)</f>
        <v/>
      </c>
      <c r="K830">
        <f>SUM(C830)</f>
        <v/>
      </c>
      <c r="L830">
        <f>SUM(K830,D830)</f>
        <v/>
      </c>
      <c r="M830">
        <f>SUM(L830,E830,F830)</f>
        <v/>
      </c>
      <c r="N830">
        <f>IF(L830=0, -1, K830/L830)</f>
        <v/>
      </c>
      <c r="O830">
        <f>IF(M830=0, -1, K830/M830)</f>
        <v/>
      </c>
      <c r="P830">
        <f>IF(M830=0, -1, L830/M830)</f>
        <v/>
      </c>
    </row>
    <row r="831">
      <c r="A831" t="inlineStr">
        <is>
          <t>RC00911</t>
        </is>
      </c>
      <c r="B831" t="inlineStr">
        <is>
          <t>武汉工商学院</t>
        </is>
      </c>
      <c r="C831" t="n">
        <v>0</v>
      </c>
      <c r="D831" t="n">
        <v>0</v>
      </c>
      <c r="E831" t="n">
        <v>0</v>
      </c>
      <c r="F831" t="n">
        <v>6</v>
      </c>
      <c r="G831" t="n">
        <v>9373.812775954902</v>
      </c>
      <c r="H831" t="n">
        <v>33.41087610135985</v>
      </c>
      <c r="I831">
        <f>IF(H831=0, 0, G831/H831)</f>
        <v/>
      </c>
      <c r="J831">
        <f>RANK(I831, I$2:I$1111, 0)</f>
        <v/>
      </c>
      <c r="K831">
        <f>SUM(C831)</f>
        <v/>
      </c>
      <c r="L831">
        <f>SUM(K831,D831)</f>
        <v/>
      </c>
      <c r="M831">
        <f>SUM(L831,E831,F831)</f>
        <v/>
      </c>
      <c r="N831">
        <f>IF(L831=0, -1, K831/L831)</f>
        <v/>
      </c>
      <c r="O831">
        <f>IF(M831=0, -1, K831/M831)</f>
        <v/>
      </c>
      <c r="P831">
        <f>IF(M831=0, -1, L831/M831)</f>
        <v/>
      </c>
    </row>
    <row r="832">
      <c r="A832" t="inlineStr">
        <is>
          <t>RC01028</t>
        </is>
      </c>
      <c r="B832" t="inlineStr">
        <is>
          <t>南京传媒学院</t>
        </is>
      </c>
      <c r="C832" t="n">
        <v>0</v>
      </c>
      <c r="D832" t="n">
        <v>0</v>
      </c>
      <c r="E832" t="n">
        <v>11</v>
      </c>
      <c r="F832" t="n">
        <v>8</v>
      </c>
      <c r="G832" t="n">
        <v>34162.5892664008</v>
      </c>
      <c r="H832" t="n">
        <v>82.0666651866014</v>
      </c>
      <c r="I832">
        <f>IF(H832=0, 0, G832/H832)</f>
        <v/>
      </c>
      <c r="J832">
        <f>RANK(I832, I$2:I$1111, 0)</f>
        <v/>
      </c>
      <c r="K832">
        <f>SUM(C832)</f>
        <v/>
      </c>
      <c r="L832">
        <f>SUM(K832,D832)</f>
        <v/>
      </c>
      <c r="M832">
        <f>SUM(L832,E832,F832)</f>
        <v/>
      </c>
      <c r="N832">
        <f>IF(L832=0, -1, K832/L832)</f>
        <v/>
      </c>
      <c r="O832">
        <f>IF(M832=0, -1, K832/M832)</f>
        <v/>
      </c>
      <c r="P832">
        <f>IF(M832=0, -1, L832/M832)</f>
        <v/>
      </c>
    </row>
    <row r="833">
      <c r="A833" t="inlineStr">
        <is>
          <t>RC00152</t>
        </is>
      </c>
      <c r="B833" t="inlineStr">
        <is>
          <t>北京电影学院</t>
        </is>
      </c>
      <c r="C833" t="n">
        <v>10</v>
      </c>
      <c r="D833" t="n">
        <v>5</v>
      </c>
      <c r="E833" t="n">
        <v>6</v>
      </c>
      <c r="F833" t="n">
        <v>0</v>
      </c>
      <c r="G833" t="n">
        <v>61226.44889423791</v>
      </c>
      <c r="H833" t="n">
        <v>78.33161250698953</v>
      </c>
      <c r="I833">
        <f>IF(H833=0, 0, G833/H833)</f>
        <v/>
      </c>
      <c r="J833">
        <f>RANK(I833, I$2:I$1111, 0)</f>
        <v/>
      </c>
      <c r="K833">
        <f>SUM(C833)</f>
        <v/>
      </c>
      <c r="L833">
        <f>SUM(K833,D833)</f>
        <v/>
      </c>
      <c r="M833">
        <f>SUM(L833,E833,F833)</f>
        <v/>
      </c>
      <c r="N833">
        <f>IF(L833=0, -1, K833/L833)</f>
        <v/>
      </c>
      <c r="O833">
        <f>IF(M833=0, -1, K833/M833)</f>
        <v/>
      </c>
      <c r="P833">
        <f>IF(M833=0, -1, L833/M833)</f>
        <v/>
      </c>
    </row>
    <row r="834">
      <c r="A834" t="inlineStr">
        <is>
          <t>RC00798</t>
        </is>
      </c>
      <c r="B834" t="inlineStr">
        <is>
          <t>阿坝师范学院</t>
        </is>
      </c>
      <c r="C834" t="n">
        <v>0</v>
      </c>
      <c r="D834" t="n">
        <v>0</v>
      </c>
      <c r="E834" t="n">
        <v>1</v>
      </c>
      <c r="F834" t="n">
        <v>2</v>
      </c>
      <c r="G834" t="n">
        <v>5344.032421890467</v>
      </c>
      <c r="H834" t="n">
        <v>10.70799720094953</v>
      </c>
      <c r="I834">
        <f>IF(H834=0, 0, G834/H834)</f>
        <v/>
      </c>
      <c r="J834">
        <f>RANK(I834, I$2:I$1111, 0)</f>
        <v/>
      </c>
      <c r="K834">
        <f>SUM(C834)</f>
        <v/>
      </c>
      <c r="L834">
        <f>SUM(K834,D834)</f>
        <v/>
      </c>
      <c r="M834">
        <f>SUM(L834,E834,F834)</f>
        <v/>
      </c>
      <c r="N834">
        <f>IF(L834=0, -1, K834/L834)</f>
        <v/>
      </c>
      <c r="O834">
        <f>IF(M834=0, -1, K834/M834)</f>
        <v/>
      </c>
      <c r="P834">
        <f>IF(M834=0, -1, L834/M834)</f>
        <v/>
      </c>
    </row>
    <row r="835">
      <c r="A835" t="inlineStr">
        <is>
          <t>RC01143</t>
        </is>
      </c>
      <c r="B835" t="inlineStr">
        <is>
          <t>武汉传媒学院</t>
        </is>
      </c>
      <c r="C835" t="n">
        <v>0</v>
      </c>
      <c r="D835" t="n">
        <v>0</v>
      </c>
      <c r="E835" t="n">
        <v>1</v>
      </c>
      <c r="F835" t="n">
        <v>2</v>
      </c>
      <c r="G835" t="n">
        <v>6035.509437524857</v>
      </c>
      <c r="H835" t="n">
        <v>14.65065717583957</v>
      </c>
      <c r="I835">
        <f>IF(H835=0, 0, G835/H835)</f>
        <v/>
      </c>
      <c r="J835">
        <f>RANK(I835, I$2:I$1111, 0)</f>
        <v/>
      </c>
      <c r="K835">
        <f>SUM(C835)</f>
        <v/>
      </c>
      <c r="L835">
        <f>SUM(K835,D835)</f>
        <v/>
      </c>
      <c r="M835">
        <f>SUM(L835,E835,F835)</f>
        <v/>
      </c>
      <c r="N835">
        <f>IF(L835=0, -1, K835/L835)</f>
        <v/>
      </c>
      <c r="O835">
        <f>IF(M835=0, -1, K835/M835)</f>
        <v/>
      </c>
      <c r="P835">
        <f>IF(M835=0, -1, L835/M835)</f>
        <v/>
      </c>
    </row>
    <row r="836">
      <c r="A836" t="inlineStr">
        <is>
          <t>RC00944</t>
        </is>
      </c>
      <c r="B836" t="inlineStr">
        <is>
          <t>西安欧亚学院</t>
        </is>
      </c>
      <c r="C836" t="n">
        <v>0</v>
      </c>
      <c r="D836" t="n">
        <v>0</v>
      </c>
      <c r="E836" t="n">
        <v>0</v>
      </c>
      <c r="F836" t="n">
        <v>1</v>
      </c>
      <c r="G836" t="n">
        <v>1848.675848331995</v>
      </c>
      <c r="H836" t="n">
        <v>5.332718793265369</v>
      </c>
      <c r="I836">
        <f>IF(H836=0, 0, G836/H836)</f>
        <v/>
      </c>
      <c r="J836">
        <f>RANK(I836, I$2:I$1111, 0)</f>
        <v/>
      </c>
      <c r="K836">
        <f>SUM(C836)</f>
        <v/>
      </c>
      <c r="L836">
        <f>SUM(K836,D836)</f>
        <v/>
      </c>
      <c r="M836">
        <f>SUM(L836,E836,F836)</f>
        <v/>
      </c>
      <c r="N836">
        <f>IF(L836=0, -1, K836/L836)</f>
        <v/>
      </c>
      <c r="O836">
        <f>IF(M836=0, -1, K836/M836)</f>
        <v/>
      </c>
      <c r="P836">
        <f>IF(M836=0, -1, L836/M836)</f>
        <v/>
      </c>
    </row>
    <row r="837">
      <c r="A837" t="inlineStr">
        <is>
          <t>RC01552</t>
        </is>
      </c>
      <c r="B837" t="inlineStr">
        <is>
          <t>安徽艺术学院</t>
        </is>
      </c>
      <c r="C837" t="n">
        <v>0</v>
      </c>
      <c r="D837" t="n">
        <v>0</v>
      </c>
      <c r="E837" t="n">
        <v>3</v>
      </c>
      <c r="F837" t="n">
        <v>5</v>
      </c>
      <c r="G837" t="n">
        <v>15094.64249298461</v>
      </c>
      <c r="H837" t="n">
        <v>38.15570761899467</v>
      </c>
      <c r="I837">
        <f>IF(H837=0, 0, G837/H837)</f>
        <v/>
      </c>
      <c r="J837">
        <f>RANK(I837, I$2:I$1111, 0)</f>
        <v/>
      </c>
      <c r="K837">
        <f>SUM(C837)</f>
        <v/>
      </c>
      <c r="L837">
        <f>SUM(K837,D837)</f>
        <v/>
      </c>
      <c r="M837">
        <f>SUM(L837,E837,F837)</f>
        <v/>
      </c>
      <c r="N837">
        <f>IF(L837=0, -1, K837/L837)</f>
        <v/>
      </c>
      <c r="O837">
        <f>IF(M837=0, -1, K837/M837)</f>
        <v/>
      </c>
      <c r="P837">
        <f>IF(M837=0, -1, L837/M837)</f>
        <v/>
      </c>
    </row>
    <row r="838">
      <c r="A838" t="inlineStr">
        <is>
          <t>RC00325</t>
        </is>
      </c>
      <c r="B838" t="inlineStr">
        <is>
          <t>黑龙江工程学院</t>
        </is>
      </c>
      <c r="C838" t="n">
        <v>0</v>
      </c>
      <c r="D838" t="n">
        <v>0</v>
      </c>
      <c r="E838" t="n">
        <v>1</v>
      </c>
      <c r="F838" t="n">
        <v>24</v>
      </c>
      <c r="G838" t="n">
        <v>42301.19009368601</v>
      </c>
      <c r="H838" t="n">
        <v>134.1362004167867</v>
      </c>
      <c r="I838">
        <f>IF(H838=0, 0, G838/H838)</f>
        <v/>
      </c>
      <c r="J838">
        <f>RANK(I838, I$2:I$1111, 0)</f>
        <v/>
      </c>
      <c r="K838">
        <f>SUM(C838)</f>
        <v/>
      </c>
      <c r="L838">
        <f>SUM(K838,D838)</f>
        <v/>
      </c>
      <c r="M838">
        <f>SUM(L838,E838,F838)</f>
        <v/>
      </c>
      <c r="N838">
        <f>IF(L838=0, -1, K838/L838)</f>
        <v/>
      </c>
      <c r="O838">
        <f>IF(M838=0, -1, K838/M838)</f>
        <v/>
      </c>
      <c r="P838">
        <f>IF(M838=0, -1, L838/M838)</f>
        <v/>
      </c>
    </row>
    <row r="839">
      <c r="A839" t="inlineStr">
        <is>
          <t>RC01188</t>
        </is>
      </c>
      <c r="B839" t="inlineStr">
        <is>
          <t>重庆财经学院</t>
        </is>
      </c>
      <c r="C839" t="n">
        <v>0</v>
      </c>
      <c r="D839" t="n">
        <v>0</v>
      </c>
      <c r="E839" t="n">
        <v>0</v>
      </c>
      <c r="F839" t="n">
        <v>6</v>
      </c>
      <c r="G839" t="n">
        <v>7473.365152910184</v>
      </c>
      <c r="H839" t="n">
        <v>23.59546762012356</v>
      </c>
      <c r="I839">
        <f>IF(H839=0, 0, G839/H839)</f>
        <v/>
      </c>
      <c r="J839">
        <f>RANK(I839, I$2:I$1111, 0)</f>
        <v/>
      </c>
      <c r="K839">
        <f>SUM(C839)</f>
        <v/>
      </c>
      <c r="L839">
        <f>SUM(K839,D839)</f>
        <v/>
      </c>
      <c r="M839">
        <f>SUM(L839,E839,F839)</f>
        <v/>
      </c>
      <c r="N839">
        <f>IF(L839=0, -1, K839/L839)</f>
        <v/>
      </c>
      <c r="O839">
        <f>IF(M839=0, -1, K839/M839)</f>
        <v/>
      </c>
      <c r="P839">
        <f>IF(M839=0, -1, L839/M839)</f>
        <v/>
      </c>
    </row>
    <row r="840">
      <c r="A840" t="inlineStr">
        <is>
          <t>RC00857</t>
        </is>
      </c>
      <c r="B840" t="inlineStr">
        <is>
          <t>上海建桥学院</t>
        </is>
      </c>
      <c r="C840" t="n">
        <v>0</v>
      </c>
      <c r="D840" t="n">
        <v>0</v>
      </c>
      <c r="E840" t="n">
        <v>0</v>
      </c>
      <c r="F840" t="n">
        <v>8</v>
      </c>
      <c r="G840" t="n">
        <v>10695.4064551805</v>
      </c>
      <c r="H840" t="n">
        <v>35.33567744857211</v>
      </c>
      <c r="I840">
        <f>IF(H840=0, 0, G840/H840)</f>
        <v/>
      </c>
      <c r="J840">
        <f>RANK(I840, I$2:I$1111, 0)</f>
        <v/>
      </c>
      <c r="K840">
        <f>SUM(C840)</f>
        <v/>
      </c>
      <c r="L840">
        <f>SUM(K840,D840)</f>
        <v/>
      </c>
      <c r="M840">
        <f>SUM(L840,E840,F840)</f>
        <v/>
      </c>
      <c r="N840">
        <f>IF(L840=0, -1, K840/L840)</f>
        <v/>
      </c>
      <c r="O840">
        <f>IF(M840=0, -1, K840/M840)</f>
        <v/>
      </c>
      <c r="P840">
        <f>IF(M840=0, -1, L840/M840)</f>
        <v/>
      </c>
    </row>
    <row r="841">
      <c r="A841" t="inlineStr">
        <is>
          <t>RC01118</t>
        </is>
      </c>
      <c r="B841" t="inlineStr">
        <is>
          <t>中原科技学院</t>
        </is>
      </c>
      <c r="C841" t="n">
        <v>0</v>
      </c>
      <c r="D841" t="n">
        <v>0</v>
      </c>
      <c r="E841" t="n">
        <v>0</v>
      </c>
      <c r="F841" t="n">
        <v>4</v>
      </c>
      <c r="G841" t="n">
        <v>5948.421037256965</v>
      </c>
      <c r="H841" t="n">
        <v>15.08420986575799</v>
      </c>
      <c r="I841">
        <f>IF(H841=0, 0, G841/H841)</f>
        <v/>
      </c>
      <c r="J841">
        <f>RANK(I841, I$2:I$1111, 0)</f>
        <v/>
      </c>
      <c r="K841">
        <f>SUM(C841)</f>
        <v/>
      </c>
      <c r="L841">
        <f>SUM(K841,D841)</f>
        <v/>
      </c>
      <c r="M841">
        <f>SUM(L841,E841,F841)</f>
        <v/>
      </c>
      <c r="N841">
        <f>IF(L841=0, -1, K841/L841)</f>
        <v/>
      </c>
      <c r="O841">
        <f>IF(M841=0, -1, K841/M841)</f>
        <v/>
      </c>
      <c r="P841">
        <f>IF(M841=0, -1, L841/M841)</f>
        <v/>
      </c>
    </row>
    <row r="842">
      <c r="A842" t="inlineStr">
        <is>
          <t>RC00347</t>
        </is>
      </c>
      <c r="B842" t="inlineStr">
        <is>
          <t>上海科技大学</t>
        </is>
      </c>
      <c r="C842" t="n">
        <v>0</v>
      </c>
      <c r="D842" t="n">
        <v>4</v>
      </c>
      <c r="E842" t="n">
        <v>5</v>
      </c>
      <c r="F842" t="n">
        <v>1</v>
      </c>
      <c r="G842" t="n">
        <v>33449.69473110604</v>
      </c>
      <c r="H842" t="n">
        <v>50.17945525372405</v>
      </c>
      <c r="I842">
        <f>IF(H842=0, 0, G842/H842)</f>
        <v/>
      </c>
      <c r="J842">
        <f>RANK(I842, I$2:I$1111, 0)</f>
        <v/>
      </c>
      <c r="K842">
        <f>SUM(C842)</f>
        <v/>
      </c>
      <c r="L842">
        <f>SUM(K842,D842)</f>
        <v/>
      </c>
      <c r="M842">
        <f>SUM(L842,E842,F842)</f>
        <v/>
      </c>
      <c r="N842">
        <f>IF(L842=0, -1, K842/L842)</f>
        <v/>
      </c>
      <c r="O842">
        <f>IF(M842=0, -1, K842/M842)</f>
        <v/>
      </c>
      <c r="P842">
        <f>IF(M842=0, -1, L842/M842)</f>
        <v/>
      </c>
    </row>
    <row r="843">
      <c r="A843" t="inlineStr">
        <is>
          <t>RC00860</t>
        </is>
      </c>
      <c r="B843" t="inlineStr">
        <is>
          <t>上海纽约大学</t>
        </is>
      </c>
      <c r="C843" t="n">
        <v>0</v>
      </c>
      <c r="D843" t="n">
        <v>0</v>
      </c>
      <c r="E843" t="n">
        <v>2</v>
      </c>
      <c r="F843" t="n">
        <v>4</v>
      </c>
      <c r="G843" t="n">
        <v>11419.42554887666</v>
      </c>
      <c r="H843" t="n">
        <v>33.52428928320222</v>
      </c>
      <c r="I843">
        <f>IF(H843=0, 0, G843/H843)</f>
        <v/>
      </c>
      <c r="J843">
        <f>RANK(I843, I$2:I$1111, 0)</f>
        <v/>
      </c>
      <c r="K843">
        <f>SUM(C843)</f>
        <v/>
      </c>
      <c r="L843">
        <f>SUM(K843,D843)</f>
        <v/>
      </c>
      <c r="M843">
        <f>SUM(L843,E843,F843)</f>
        <v/>
      </c>
      <c r="N843">
        <f>IF(L843=0, -1, K843/L843)</f>
        <v/>
      </c>
      <c r="O843">
        <f>IF(M843=0, -1, K843/M843)</f>
        <v/>
      </c>
      <c r="P843">
        <f>IF(M843=0, -1, L843/M843)</f>
        <v/>
      </c>
    </row>
    <row r="844">
      <c r="A844" t="inlineStr">
        <is>
          <t>RC00261</t>
        </is>
      </c>
      <c r="B844" t="inlineStr">
        <is>
          <t>沈阳药科大学</t>
        </is>
      </c>
      <c r="C844" t="n">
        <v>4</v>
      </c>
      <c r="D844" t="n">
        <v>4</v>
      </c>
      <c r="E844" t="n">
        <v>7</v>
      </c>
      <c r="F844" t="n">
        <v>6</v>
      </c>
      <c r="G844" t="n">
        <v>48463.07685852158</v>
      </c>
      <c r="H844" t="n">
        <v>82.05165226719701</v>
      </c>
      <c r="I844">
        <f>IF(H844=0, 0, G844/H844)</f>
        <v/>
      </c>
      <c r="J844">
        <f>RANK(I844, I$2:I$1111, 0)</f>
        <v/>
      </c>
      <c r="K844">
        <f>SUM(C844)</f>
        <v/>
      </c>
      <c r="L844">
        <f>SUM(K844,D844)</f>
        <v/>
      </c>
      <c r="M844">
        <f>SUM(L844,E844,F844)</f>
        <v/>
      </c>
      <c r="N844">
        <f>IF(L844=0, -1, K844/L844)</f>
        <v/>
      </c>
      <c r="O844">
        <f>IF(M844=0, -1, K844/M844)</f>
        <v/>
      </c>
      <c r="P844">
        <f>IF(M844=0, -1, L844/M844)</f>
        <v/>
      </c>
    </row>
    <row r="845">
      <c r="A845" t="inlineStr">
        <is>
          <t>RC00257</t>
        </is>
      </c>
      <c r="B845" t="inlineStr">
        <is>
          <t>沈阳农业大学</t>
        </is>
      </c>
      <c r="C845" t="n">
        <v>0</v>
      </c>
      <c r="D845" t="n">
        <v>2</v>
      </c>
      <c r="E845" t="n">
        <v>13</v>
      </c>
      <c r="F845" t="n">
        <v>23</v>
      </c>
      <c r="G845" t="n">
        <v>74064.97493553824</v>
      </c>
      <c r="H845" t="n">
        <v>157.5924994814321</v>
      </c>
      <c r="I845">
        <f>IF(H845=0, 0, G845/H845)</f>
        <v/>
      </c>
      <c r="J845">
        <f>RANK(I845, I$2:I$1111, 0)</f>
        <v/>
      </c>
      <c r="K845">
        <f>SUM(C845)</f>
        <v/>
      </c>
      <c r="L845">
        <f>SUM(K845,D845)</f>
        <v/>
      </c>
      <c r="M845">
        <f>SUM(L845,E845,F845)</f>
        <v/>
      </c>
      <c r="N845">
        <f>IF(L845=0, -1, K845/L845)</f>
        <v/>
      </c>
      <c r="O845">
        <f>IF(M845=0, -1, K845/M845)</f>
        <v/>
      </c>
      <c r="P845">
        <f>IF(M845=0, -1, L845/M845)</f>
        <v/>
      </c>
    </row>
    <row r="846">
      <c r="A846" t="inlineStr">
        <is>
          <t>RC00069</t>
        </is>
      </c>
      <c r="B846" t="inlineStr">
        <is>
          <t>中国医科大学</t>
        </is>
      </c>
      <c r="C846" t="n">
        <v>0</v>
      </c>
      <c r="D846" t="n">
        <v>10</v>
      </c>
      <c r="E846" t="n">
        <v>13</v>
      </c>
      <c r="F846" t="n">
        <v>2</v>
      </c>
      <c r="G846" t="n">
        <v>69466.51410983606</v>
      </c>
      <c r="H846" t="n">
        <v>104.0057812212928</v>
      </c>
      <c r="I846">
        <f>IF(H846=0, 0, G846/H846)</f>
        <v/>
      </c>
      <c r="J846">
        <f>RANK(I846, I$2:I$1111, 0)</f>
        <v/>
      </c>
      <c r="K846">
        <f>SUM(C846)</f>
        <v/>
      </c>
      <c r="L846">
        <f>SUM(K846,D846)</f>
        <v/>
      </c>
      <c r="M846">
        <f>SUM(L846,E846,F846)</f>
        <v/>
      </c>
      <c r="N846">
        <f>IF(L846=0, -1, K846/L846)</f>
        <v/>
      </c>
      <c r="O846">
        <f>IF(M846=0, -1, K846/M846)</f>
        <v/>
      </c>
      <c r="P846">
        <f>IF(M846=0, -1, L846/M846)</f>
        <v/>
      </c>
    </row>
    <row r="847">
      <c r="A847" t="inlineStr">
        <is>
          <t>RC00351</t>
        </is>
      </c>
      <c r="B847" t="inlineStr">
        <is>
          <t>徐州医科大学</t>
        </is>
      </c>
      <c r="C847" t="n">
        <v>1</v>
      </c>
      <c r="D847" t="n">
        <v>1</v>
      </c>
      <c r="E847" t="n">
        <v>12</v>
      </c>
      <c r="F847" t="n">
        <v>13</v>
      </c>
      <c r="G847" t="n">
        <v>56881.10175810441</v>
      </c>
      <c r="H847" t="n">
        <v>106.2292901120979</v>
      </c>
      <c r="I847">
        <f>IF(H847=0, 0, G847/H847)</f>
        <v/>
      </c>
      <c r="J847">
        <f>RANK(I847, I$2:I$1111, 0)</f>
        <v/>
      </c>
      <c r="K847">
        <f>SUM(C847)</f>
        <v/>
      </c>
      <c r="L847">
        <f>SUM(K847,D847)</f>
        <v/>
      </c>
      <c r="M847">
        <f>SUM(L847,E847,F847)</f>
        <v/>
      </c>
      <c r="N847">
        <f>IF(L847=0, -1, K847/L847)</f>
        <v/>
      </c>
      <c r="O847">
        <f>IF(M847=0, -1, K847/M847)</f>
        <v/>
      </c>
      <c r="P847">
        <f>IF(M847=0, -1, L847/M847)</f>
        <v/>
      </c>
    </row>
    <row r="848">
      <c r="A848" t="inlineStr">
        <is>
          <t>RC00556</t>
        </is>
      </c>
      <c r="B848" t="inlineStr">
        <is>
          <t>湖北医药学院</t>
        </is>
      </c>
      <c r="C848" t="n">
        <v>0</v>
      </c>
      <c r="D848" t="n">
        <v>0</v>
      </c>
      <c r="E848" t="n">
        <v>4</v>
      </c>
      <c r="F848" t="n">
        <v>13</v>
      </c>
      <c r="G848" t="n">
        <v>31292.39332747649</v>
      </c>
      <c r="H848" t="n">
        <v>73.09912344215245</v>
      </c>
      <c r="I848">
        <f>IF(H848=0, 0, G848/H848)</f>
        <v/>
      </c>
      <c r="J848">
        <f>RANK(I848, I$2:I$1111, 0)</f>
        <v/>
      </c>
      <c r="K848">
        <f>SUM(C848)</f>
        <v/>
      </c>
      <c r="L848">
        <f>SUM(K848,D848)</f>
        <v/>
      </c>
      <c r="M848">
        <f>SUM(L848,E848,F848)</f>
        <v/>
      </c>
      <c r="N848">
        <f>IF(L848=0, -1, K848/L848)</f>
        <v/>
      </c>
      <c r="O848">
        <f>IF(M848=0, -1, K848/M848)</f>
        <v/>
      </c>
      <c r="P848">
        <f>IF(M848=0, -1, L848/M848)</f>
        <v/>
      </c>
    </row>
    <row r="849">
      <c r="A849" t="inlineStr">
        <is>
          <t>RC00595</t>
        </is>
      </c>
      <c r="B849" t="inlineStr">
        <is>
          <t>广州中医药大学</t>
        </is>
      </c>
      <c r="C849" t="n">
        <v>3</v>
      </c>
      <c r="D849" t="n">
        <v>7</v>
      </c>
      <c r="E849" t="n">
        <v>8</v>
      </c>
      <c r="F849" t="n">
        <v>5</v>
      </c>
      <c r="G849" t="n">
        <v>60382.6695846322</v>
      </c>
      <c r="H849" t="n">
        <v>91.67612979470441</v>
      </c>
      <c r="I849">
        <f>IF(H849=0, 0, G849/H849)</f>
        <v/>
      </c>
      <c r="J849">
        <f>RANK(I849, I$2:I$1111, 0)</f>
        <v/>
      </c>
      <c r="K849">
        <f>SUM(C849)</f>
        <v/>
      </c>
      <c r="L849">
        <f>SUM(K849,D849)</f>
        <v/>
      </c>
      <c r="M849">
        <f>SUM(L849,E849,F849)</f>
        <v/>
      </c>
      <c r="N849">
        <f>IF(L849=0, -1, K849/L849)</f>
        <v/>
      </c>
      <c r="O849">
        <f>IF(M849=0, -1, K849/M849)</f>
        <v/>
      </c>
      <c r="P849">
        <f>IF(M849=0, -1, L849/M849)</f>
        <v/>
      </c>
    </row>
    <row r="850">
      <c r="A850" t="inlineStr">
        <is>
          <t>RC00643</t>
        </is>
      </c>
      <c r="B850" t="inlineStr">
        <is>
          <t>海南医科大学</t>
        </is>
      </c>
      <c r="C850" t="n">
        <v>0</v>
      </c>
      <c r="D850" t="n">
        <v>0</v>
      </c>
      <c r="E850" t="n">
        <v>5</v>
      </c>
      <c r="F850" t="n">
        <v>9</v>
      </c>
      <c r="G850" t="n">
        <v>27039.66300106441</v>
      </c>
      <c r="H850" t="n">
        <v>63.30861806787926</v>
      </c>
      <c r="I850">
        <f>IF(H850=0, 0, G850/H850)</f>
        <v/>
      </c>
      <c r="J850">
        <f>RANK(I850, I$2:I$1111, 0)</f>
        <v/>
      </c>
      <c r="K850">
        <f>SUM(C850)</f>
        <v/>
      </c>
      <c r="L850">
        <f>SUM(K850,D850)</f>
        <v/>
      </c>
      <c r="M850">
        <f>SUM(L850,E850,F850)</f>
        <v/>
      </c>
      <c r="N850">
        <f>IF(L850=0, -1, K850/L850)</f>
        <v/>
      </c>
      <c r="O850">
        <f>IF(M850=0, -1, K850/M850)</f>
        <v/>
      </c>
      <c r="P850">
        <f>IF(M850=0, -1, L850/M850)</f>
        <v/>
      </c>
    </row>
    <row r="851">
      <c r="A851" t="inlineStr">
        <is>
          <t>RC00474</t>
        </is>
      </c>
      <c r="B851" t="inlineStr">
        <is>
          <t>滨州医学院</t>
        </is>
      </c>
      <c r="C851" t="n">
        <v>0</v>
      </c>
      <c r="D851" t="n">
        <v>0</v>
      </c>
      <c r="E851" t="n">
        <v>15</v>
      </c>
      <c r="F851" t="n">
        <v>9</v>
      </c>
      <c r="G851" t="n">
        <v>48812.0424210682</v>
      </c>
      <c r="H851" t="n">
        <v>97.46601627626863</v>
      </c>
      <c r="I851">
        <f>IF(H851=0, 0, G851/H851)</f>
        <v/>
      </c>
      <c r="J851">
        <f>RANK(I851, I$2:I$1111, 0)</f>
        <v/>
      </c>
      <c r="K851">
        <f>SUM(C851)</f>
        <v/>
      </c>
      <c r="L851">
        <f>SUM(K851,D851)</f>
        <v/>
      </c>
      <c r="M851">
        <f>SUM(L851,E851,F851)</f>
        <v/>
      </c>
      <c r="N851">
        <f>IF(L851=0, -1, K851/L851)</f>
        <v/>
      </c>
      <c r="O851">
        <f>IF(M851=0, -1, K851/M851)</f>
        <v/>
      </c>
      <c r="P851">
        <f>IF(M851=0, -1, L851/M851)</f>
        <v/>
      </c>
    </row>
    <row r="852">
      <c r="A852" t="inlineStr">
        <is>
          <t>RC00626</t>
        </is>
      </c>
      <c r="B852" t="inlineStr">
        <is>
          <t>桂林医科大学</t>
        </is>
      </c>
      <c r="C852" t="n">
        <v>0</v>
      </c>
      <c r="D852" t="n">
        <v>0</v>
      </c>
      <c r="E852" t="n">
        <v>3</v>
      </c>
      <c r="F852" t="n">
        <v>13</v>
      </c>
      <c r="G852" t="n">
        <v>30589.64680992754</v>
      </c>
      <c r="H852" t="n">
        <v>72.3835304824465</v>
      </c>
      <c r="I852">
        <f>IF(H852=0, 0, G852/H852)</f>
        <v/>
      </c>
      <c r="J852">
        <f>RANK(I852, I$2:I$1111, 0)</f>
        <v/>
      </c>
      <c r="K852">
        <f>SUM(C852)</f>
        <v/>
      </c>
      <c r="L852">
        <f>SUM(K852,D852)</f>
        <v/>
      </c>
      <c r="M852">
        <f>SUM(L852,E852,F852)</f>
        <v/>
      </c>
      <c r="N852">
        <f>IF(L852=0, -1, K852/L852)</f>
        <v/>
      </c>
      <c r="O852">
        <f>IF(M852=0, -1, K852/M852)</f>
        <v/>
      </c>
      <c r="P852">
        <f>IF(M852=0, -1, L852/M852)</f>
        <v/>
      </c>
    </row>
    <row r="853">
      <c r="A853" t="inlineStr">
        <is>
          <t>RC00958</t>
        </is>
      </c>
      <c r="B853" t="inlineStr">
        <is>
          <t>广东以色列理工学院</t>
        </is>
      </c>
      <c r="C853" t="n">
        <v>0</v>
      </c>
      <c r="D853" t="n">
        <v>0</v>
      </c>
      <c r="E853" t="n">
        <v>0</v>
      </c>
      <c r="F853" t="n">
        <v>2</v>
      </c>
      <c r="G853" t="n">
        <v>3566.097505868495</v>
      </c>
      <c r="H853" t="n">
        <v>10.27553375109885</v>
      </c>
      <c r="I853">
        <f>IF(H853=0, 0, G853/H853)</f>
        <v/>
      </c>
      <c r="J853">
        <f>RANK(I853, I$2:I$1111, 0)</f>
        <v/>
      </c>
      <c r="K853">
        <f>SUM(C853)</f>
        <v/>
      </c>
      <c r="L853">
        <f>SUM(K853,D853)</f>
        <v/>
      </c>
      <c r="M853">
        <f>SUM(L853,E853,F853)</f>
        <v/>
      </c>
      <c r="N853">
        <f>IF(L853=0, -1, K853/L853)</f>
        <v/>
      </c>
      <c r="O853">
        <f>IF(M853=0, -1, K853/M853)</f>
        <v/>
      </c>
      <c r="P853">
        <f>IF(M853=0, -1, L853/M853)</f>
        <v/>
      </c>
    </row>
    <row r="854">
      <c r="A854" t="inlineStr">
        <is>
          <t>RC00262</t>
        </is>
      </c>
      <c r="B854" t="inlineStr">
        <is>
          <t>沈阳医学院</t>
        </is>
      </c>
      <c r="C854" t="n">
        <v>0</v>
      </c>
      <c r="D854" t="n">
        <v>0</v>
      </c>
      <c r="E854" t="n">
        <v>4</v>
      </c>
      <c r="F854" t="n">
        <v>10</v>
      </c>
      <c r="G854" t="n">
        <v>26354.30442568341</v>
      </c>
      <c r="H854" t="n">
        <v>61.74790995843129</v>
      </c>
      <c r="I854">
        <f>IF(H854=0, 0, G854/H854)</f>
        <v/>
      </c>
      <c r="J854">
        <f>RANK(I854, I$2:I$1111, 0)</f>
        <v/>
      </c>
      <c r="K854">
        <f>SUM(C854)</f>
        <v/>
      </c>
      <c r="L854">
        <f>SUM(K854,D854)</f>
        <v/>
      </c>
      <c r="M854">
        <f>SUM(L854,E854,F854)</f>
        <v/>
      </c>
      <c r="N854">
        <f>IF(L854=0, -1, K854/L854)</f>
        <v/>
      </c>
      <c r="O854">
        <f>IF(M854=0, -1, K854/M854)</f>
        <v/>
      </c>
      <c r="P854">
        <f>IF(M854=0, -1, L854/M854)</f>
        <v/>
      </c>
    </row>
    <row r="855">
      <c r="A855" t="inlineStr">
        <is>
          <t>RC00735</t>
        </is>
      </c>
      <c r="B855" t="inlineStr">
        <is>
          <t>陕西中医药大学</t>
        </is>
      </c>
      <c r="C855" t="n">
        <v>0</v>
      </c>
      <c r="D855" t="n">
        <v>1</v>
      </c>
      <c r="E855" t="n">
        <v>9</v>
      </c>
      <c r="F855" t="n">
        <v>11</v>
      </c>
      <c r="G855" t="n">
        <v>43329.62843431595</v>
      </c>
      <c r="H855" t="n">
        <v>85.18748623276046</v>
      </c>
      <c r="I855">
        <f>IF(H855=0, 0, G855/H855)</f>
        <v/>
      </c>
      <c r="J855">
        <f>RANK(I855, I$2:I$1111, 0)</f>
        <v/>
      </c>
      <c r="K855">
        <f>SUM(C855)</f>
        <v/>
      </c>
      <c r="L855">
        <f>SUM(K855,D855)</f>
        <v/>
      </c>
      <c r="M855">
        <f>SUM(L855,E855,F855)</f>
        <v/>
      </c>
      <c r="N855">
        <f>IF(L855=0, -1, K855/L855)</f>
        <v/>
      </c>
      <c r="O855">
        <f>IF(M855=0, -1, K855/M855)</f>
        <v/>
      </c>
      <c r="P855">
        <f>IF(M855=0, -1, L855/M855)</f>
        <v/>
      </c>
    </row>
    <row r="856">
      <c r="A856" t="inlineStr">
        <is>
          <t>RC00068</t>
        </is>
      </c>
      <c r="B856" t="inlineStr">
        <is>
          <t>天津医科大学</t>
        </is>
      </c>
      <c r="C856" t="n">
        <v>3</v>
      </c>
      <c r="D856" t="n">
        <v>11</v>
      </c>
      <c r="E856" t="n">
        <v>6</v>
      </c>
      <c r="F856" t="n">
        <v>0</v>
      </c>
      <c r="G856" t="n">
        <v>62161.23825404505</v>
      </c>
      <c r="H856" t="n">
        <v>81.25419763929476</v>
      </c>
      <c r="I856">
        <f>IF(H856=0, 0, G856/H856)</f>
        <v/>
      </c>
      <c r="J856">
        <f>RANK(I856, I$2:I$1111, 0)</f>
        <v/>
      </c>
      <c r="K856">
        <f>SUM(C856)</f>
        <v/>
      </c>
      <c r="L856">
        <f>SUM(K856,D856)</f>
        <v/>
      </c>
      <c r="M856">
        <f>SUM(L856,E856,F856)</f>
        <v/>
      </c>
      <c r="N856">
        <f>IF(L856=0, -1, K856/L856)</f>
        <v/>
      </c>
      <c r="O856">
        <f>IF(M856=0, -1, K856/M856)</f>
        <v/>
      </c>
      <c r="P856">
        <f>IF(M856=0, -1, L856/M856)</f>
        <v/>
      </c>
    </row>
    <row r="857">
      <c r="A857" t="inlineStr">
        <is>
          <t>RC00352</t>
        </is>
      </c>
      <c r="B857" t="inlineStr">
        <is>
          <t>南京中医药大学</t>
        </is>
      </c>
      <c r="C857" t="n">
        <v>5</v>
      </c>
      <c r="D857" t="n">
        <v>6</v>
      </c>
      <c r="E857" t="n">
        <v>12</v>
      </c>
      <c r="F857" t="n">
        <v>4</v>
      </c>
      <c r="G857" t="n">
        <v>72390.397965688</v>
      </c>
      <c r="H857" t="n">
        <v>112.8552192893522</v>
      </c>
      <c r="I857">
        <f>IF(H857=0, 0, G857/H857)</f>
        <v/>
      </c>
      <c r="J857">
        <f>RANK(I857, I$2:I$1111, 0)</f>
        <v/>
      </c>
      <c r="K857">
        <f>SUM(C857)</f>
        <v/>
      </c>
      <c r="L857">
        <f>SUM(K857,D857)</f>
        <v/>
      </c>
      <c r="M857">
        <f>SUM(L857,E857,F857)</f>
        <v/>
      </c>
      <c r="N857">
        <f>IF(L857=0, -1, K857/L857)</f>
        <v/>
      </c>
      <c r="O857">
        <f>IF(M857=0, -1, K857/M857)</f>
        <v/>
      </c>
      <c r="P857">
        <f>IF(M857=0, -1, L857/M857)</f>
        <v/>
      </c>
    </row>
    <row r="858">
      <c r="A858" t="inlineStr">
        <is>
          <t>RC00686</t>
        </is>
      </c>
      <c r="B858" t="inlineStr">
        <is>
          <t>成都医学院</t>
        </is>
      </c>
      <c r="C858" t="n">
        <v>0</v>
      </c>
      <c r="D858" t="n">
        <v>1</v>
      </c>
      <c r="E858" t="n">
        <v>3</v>
      </c>
      <c r="F858" t="n">
        <v>12</v>
      </c>
      <c r="G858" t="n">
        <v>30397.55291027405</v>
      </c>
      <c r="H858" t="n">
        <v>72.85178901125909</v>
      </c>
      <c r="I858">
        <f>IF(H858=0, 0, G858/H858)</f>
        <v/>
      </c>
      <c r="J858">
        <f>RANK(I858, I$2:I$1111, 0)</f>
        <v/>
      </c>
      <c r="K858">
        <f>SUM(C858)</f>
        <v/>
      </c>
      <c r="L858">
        <f>SUM(K858,D858)</f>
        <v/>
      </c>
      <c r="M858">
        <f>SUM(L858,E858,F858)</f>
        <v/>
      </c>
      <c r="N858">
        <f>IF(L858=0, -1, K858/L858)</f>
        <v/>
      </c>
      <c r="O858">
        <f>IF(M858=0, -1, K858/M858)</f>
        <v/>
      </c>
      <c r="P858">
        <f>IF(M858=0, -1, L858/M858)</f>
        <v/>
      </c>
    </row>
    <row r="859">
      <c r="A859" t="inlineStr">
        <is>
          <t>RC00405</t>
        </is>
      </c>
      <c r="B859" t="inlineStr">
        <is>
          <t>皖南医学院</t>
        </is>
      </c>
      <c r="C859" t="n">
        <v>0</v>
      </c>
      <c r="D859" t="n">
        <v>0</v>
      </c>
      <c r="E859" t="n">
        <v>4</v>
      </c>
      <c r="F859" t="n">
        <v>13</v>
      </c>
      <c r="G859" t="n">
        <v>30168.53830101723</v>
      </c>
      <c r="H859" t="n">
        <v>71.13322250333525</v>
      </c>
      <c r="I859">
        <f>IF(H859=0, 0, G859/H859)</f>
        <v/>
      </c>
      <c r="J859">
        <f>RANK(I859, I$2:I$1111, 0)</f>
        <v/>
      </c>
      <c r="K859">
        <f>SUM(C859)</f>
        <v/>
      </c>
      <c r="L859">
        <f>SUM(K859,D859)</f>
        <v/>
      </c>
      <c r="M859">
        <f>SUM(L859,E859,F859)</f>
        <v/>
      </c>
      <c r="N859">
        <f>IF(L859=0, -1, K859/L859)</f>
        <v/>
      </c>
      <c r="O859">
        <f>IF(M859=0, -1, K859/M859)</f>
        <v/>
      </c>
      <c r="P859">
        <f>IF(M859=0, -1, L859/M859)</f>
        <v/>
      </c>
    </row>
    <row r="860">
      <c r="A860" t="inlineStr">
        <is>
          <t>RC00188</t>
        </is>
      </c>
      <c r="B860" t="inlineStr">
        <is>
          <t>承德医学院</t>
        </is>
      </c>
      <c r="C860" t="n">
        <v>0</v>
      </c>
      <c r="D860" t="n">
        <v>0</v>
      </c>
      <c r="E860" t="n">
        <v>2</v>
      </c>
      <c r="F860" t="n">
        <v>6</v>
      </c>
      <c r="G860" t="n">
        <v>14722.97591518104</v>
      </c>
      <c r="H860" t="n">
        <v>34.51427087934548</v>
      </c>
      <c r="I860">
        <f>IF(H860=0, 0, G860/H860)</f>
        <v/>
      </c>
      <c r="J860">
        <f>RANK(I860, I$2:I$1111, 0)</f>
        <v/>
      </c>
      <c r="K860">
        <f>SUM(C860)</f>
        <v/>
      </c>
      <c r="L860">
        <f>SUM(K860,D860)</f>
        <v/>
      </c>
      <c r="M860">
        <f>SUM(L860,E860,F860)</f>
        <v/>
      </c>
      <c r="N860">
        <f>IF(L860=0, -1, K860/L860)</f>
        <v/>
      </c>
      <c r="O860">
        <f>IF(M860=0, -1, K860/M860)</f>
        <v/>
      </c>
      <c r="P860">
        <f>IF(M860=0, -1, L860/M860)</f>
        <v/>
      </c>
    </row>
    <row r="861">
      <c r="A861" t="inlineStr">
        <is>
          <t>RC00303</t>
        </is>
      </c>
      <c r="B861" t="inlineStr">
        <is>
          <t>吉林医药学院</t>
        </is>
      </c>
      <c r="C861" t="n">
        <v>0</v>
      </c>
      <c r="D861" t="n">
        <v>0</v>
      </c>
      <c r="E861" t="n">
        <v>0</v>
      </c>
      <c r="F861" t="n">
        <v>6</v>
      </c>
      <c r="G861" t="n">
        <v>9489.178018658691</v>
      </c>
      <c r="H861" t="n">
        <v>27.53773831943313</v>
      </c>
      <c r="I861">
        <f>IF(H861=0, 0, G861/H861)</f>
        <v/>
      </c>
      <c r="J861">
        <f>RANK(I861, I$2:I$1111, 0)</f>
        <v/>
      </c>
      <c r="K861">
        <f>SUM(C861)</f>
        <v/>
      </c>
      <c r="L861">
        <f>SUM(K861,D861)</f>
        <v/>
      </c>
      <c r="M861">
        <f>SUM(L861,E861,F861)</f>
        <v/>
      </c>
      <c r="N861">
        <f>IF(L861=0, -1, K861/L861)</f>
        <v/>
      </c>
      <c r="O861">
        <f>IF(M861=0, -1, K861/M861)</f>
        <v/>
      </c>
      <c r="P861">
        <f>IF(M861=0, -1, L861/M861)</f>
        <v/>
      </c>
    </row>
    <row r="862">
      <c r="A862" t="inlineStr">
        <is>
          <t>RC00323</t>
        </is>
      </c>
      <c r="B862" t="inlineStr">
        <is>
          <t>齐齐哈尔医学院</t>
        </is>
      </c>
      <c r="C862" t="n">
        <v>1</v>
      </c>
      <c r="D862" t="n">
        <v>0</v>
      </c>
      <c r="E862" t="n">
        <v>0</v>
      </c>
      <c r="F862" t="n">
        <v>9</v>
      </c>
      <c r="G862" t="n">
        <v>17846.20906874186</v>
      </c>
      <c r="H862" t="n">
        <v>44.12359809381496</v>
      </c>
      <c r="I862">
        <f>IF(H862=0, 0, G862/H862)</f>
        <v/>
      </c>
      <c r="J862">
        <f>RANK(I862, I$2:I$1111, 0)</f>
        <v/>
      </c>
      <c r="K862">
        <f>SUM(C862)</f>
        <v/>
      </c>
      <c r="L862">
        <f>SUM(K862,D862)</f>
        <v/>
      </c>
      <c r="M862">
        <f>SUM(L862,E862,F862)</f>
        <v/>
      </c>
      <c r="N862">
        <f>IF(L862=0, -1, K862/L862)</f>
        <v/>
      </c>
      <c r="O862">
        <f>IF(M862=0, -1, K862/M862)</f>
        <v/>
      </c>
      <c r="P862">
        <f>IF(M862=0, -1, L862/M862)</f>
        <v/>
      </c>
    </row>
    <row r="863">
      <c r="A863" t="inlineStr">
        <is>
          <t>RC00210</t>
        </is>
      </c>
      <c r="B863" t="inlineStr">
        <is>
          <t>河北中医药大学</t>
        </is>
      </c>
      <c r="C863" t="n">
        <v>0</v>
      </c>
      <c r="D863" t="n">
        <v>0</v>
      </c>
      <c r="E863" t="n">
        <v>7</v>
      </c>
      <c r="F863" t="n">
        <v>8</v>
      </c>
      <c r="G863" t="n">
        <v>29165.87458141731</v>
      </c>
      <c r="H863" t="n">
        <v>59.77885570967803</v>
      </c>
      <c r="I863">
        <f>IF(H863=0, 0, G863/H863)</f>
        <v/>
      </c>
      <c r="J863">
        <f>RANK(I863, I$2:I$1111, 0)</f>
        <v/>
      </c>
      <c r="K863">
        <f>SUM(C863)</f>
        <v/>
      </c>
      <c r="L863">
        <f>SUM(K863,D863)</f>
        <v/>
      </c>
      <c r="M863">
        <f>SUM(L863,E863,F863)</f>
        <v/>
      </c>
      <c r="N863">
        <f>IF(L863=0, -1, K863/L863)</f>
        <v/>
      </c>
      <c r="O863">
        <f>IF(M863=0, -1, K863/M863)</f>
        <v/>
      </c>
      <c r="P863">
        <f>IF(M863=0, -1, L863/M863)</f>
        <v/>
      </c>
    </row>
    <row r="864">
      <c r="A864" t="inlineStr">
        <is>
          <t>RC00476</t>
        </is>
      </c>
      <c r="B864" t="inlineStr">
        <is>
          <t>济宁医学院</t>
        </is>
      </c>
      <c r="C864" t="n">
        <v>1</v>
      </c>
      <c r="D864" t="n">
        <v>0</v>
      </c>
      <c r="E864" t="n">
        <v>0</v>
      </c>
      <c r="F864" t="n">
        <v>7</v>
      </c>
      <c r="G864" t="n">
        <v>12700.25666823539</v>
      </c>
      <c r="H864" t="n">
        <v>35.43715607694492</v>
      </c>
      <c r="I864">
        <f>IF(H864=0, 0, G864/H864)</f>
        <v/>
      </c>
      <c r="J864">
        <f>RANK(I864, I$2:I$1111, 0)</f>
        <v/>
      </c>
      <c r="K864">
        <f>SUM(C864)</f>
        <v/>
      </c>
      <c r="L864">
        <f>SUM(K864,D864)</f>
        <v/>
      </c>
      <c r="M864">
        <f>SUM(L864,E864,F864)</f>
        <v/>
      </c>
      <c r="N864">
        <f>IF(L864=0, -1, K864/L864)</f>
        <v/>
      </c>
      <c r="O864">
        <f>IF(M864=0, -1, K864/M864)</f>
        <v/>
      </c>
      <c r="P864">
        <f>IF(M864=0, -1, L864/M864)</f>
        <v/>
      </c>
    </row>
    <row r="865">
      <c r="A865" t="inlineStr">
        <is>
          <t>RC00313</t>
        </is>
      </c>
      <c r="B865" t="inlineStr">
        <is>
          <t>牡丹江医科大学</t>
        </is>
      </c>
      <c r="C865" t="n">
        <v>0</v>
      </c>
      <c r="D865" t="n">
        <v>0</v>
      </c>
      <c r="E865" t="n">
        <v>1</v>
      </c>
      <c r="F865" t="n">
        <v>9</v>
      </c>
      <c r="G865" t="n">
        <v>17913.44055179287</v>
      </c>
      <c r="H865" t="n">
        <v>46.56355269585915</v>
      </c>
      <c r="I865">
        <f>IF(H865=0, 0, G865/H865)</f>
        <v/>
      </c>
      <c r="J865">
        <f>RANK(I865, I$2:I$1111, 0)</f>
        <v/>
      </c>
      <c r="K865">
        <f>SUM(C865)</f>
        <v/>
      </c>
      <c r="L865">
        <f>SUM(K865,D865)</f>
        <v/>
      </c>
      <c r="M865">
        <f>SUM(L865,E865,F865)</f>
        <v/>
      </c>
      <c r="N865">
        <f>IF(L865=0, -1, K865/L865)</f>
        <v/>
      </c>
      <c r="O865">
        <f>IF(M865=0, -1, K865/M865)</f>
        <v/>
      </c>
      <c r="P865">
        <f>IF(M865=0, -1, L865/M865)</f>
        <v/>
      </c>
    </row>
    <row r="866">
      <c r="A866" t="inlineStr">
        <is>
          <t>RC00131</t>
        </is>
      </c>
      <c r="B866" t="inlineStr">
        <is>
          <t>北京石油化工学院</t>
        </is>
      </c>
      <c r="C866" t="n">
        <v>0</v>
      </c>
      <c r="D866" t="n">
        <v>0</v>
      </c>
      <c r="E866" t="n">
        <v>14</v>
      </c>
      <c r="F866" t="n">
        <v>12</v>
      </c>
      <c r="G866" t="n">
        <v>56934.26706148363</v>
      </c>
      <c r="H866" t="n">
        <v>135.9115005376929</v>
      </c>
      <c r="I866">
        <f>IF(H866=0, 0, G866/H866)</f>
        <v/>
      </c>
      <c r="J866">
        <f>RANK(I866, I$2:I$1111, 0)</f>
        <v/>
      </c>
      <c r="K866">
        <f>SUM(C866)</f>
        <v/>
      </c>
      <c r="L866">
        <f>SUM(K866,D866)</f>
        <v/>
      </c>
      <c r="M866">
        <f>SUM(L866,E866,F866)</f>
        <v/>
      </c>
      <c r="N866">
        <f>IF(L866=0, -1, K866/L866)</f>
        <v/>
      </c>
      <c r="O866">
        <f>IF(M866=0, -1, K866/M866)</f>
        <v/>
      </c>
      <c r="P866">
        <f>IF(M866=0, -1, L866/M866)</f>
        <v/>
      </c>
    </row>
    <row r="867">
      <c r="A867" t="inlineStr">
        <is>
          <t>RC00309</t>
        </is>
      </c>
      <c r="B867" t="inlineStr">
        <is>
          <t>黑龙江八一农垦大学</t>
        </is>
      </c>
      <c r="C867" t="n">
        <v>0</v>
      </c>
      <c r="D867" t="n">
        <v>0</v>
      </c>
      <c r="E867" t="n">
        <v>4</v>
      </c>
      <c r="F867" t="n">
        <v>20</v>
      </c>
      <c r="G867" t="n">
        <v>39385.43337167482</v>
      </c>
      <c r="H867" t="n">
        <v>107.8368894236797</v>
      </c>
      <c r="I867">
        <f>IF(H867=0, 0, G867/H867)</f>
        <v/>
      </c>
      <c r="J867">
        <f>RANK(I867, I$2:I$1111, 0)</f>
        <v/>
      </c>
      <c r="K867">
        <f>SUM(C867)</f>
        <v/>
      </c>
      <c r="L867">
        <f>SUM(K867,D867)</f>
        <v/>
      </c>
      <c r="M867">
        <f>SUM(L867,E867,F867)</f>
        <v/>
      </c>
      <c r="N867">
        <f>IF(L867=0, -1, K867/L867)</f>
        <v/>
      </c>
      <c r="O867">
        <f>IF(M867=0, -1, K867/M867)</f>
        <v/>
      </c>
      <c r="P867">
        <f>IF(M867=0, -1, L867/M867)</f>
        <v/>
      </c>
    </row>
    <row r="868">
      <c r="A868" t="inlineStr">
        <is>
          <t>RC00299</t>
        </is>
      </c>
      <c r="B868" t="inlineStr">
        <is>
          <t>长春工程学院</t>
        </is>
      </c>
      <c r="C868" t="n">
        <v>0</v>
      </c>
      <c r="D868" t="n">
        <v>0</v>
      </c>
      <c r="E868" t="n">
        <v>4</v>
      </c>
      <c r="F868" t="n">
        <v>17</v>
      </c>
      <c r="G868" t="n">
        <v>32237.33998145089</v>
      </c>
      <c r="H868" t="n">
        <v>96.96833983566516</v>
      </c>
      <c r="I868">
        <f>IF(H868=0, 0, G868/H868)</f>
        <v/>
      </c>
      <c r="J868">
        <f>RANK(I868, I$2:I$1111, 0)</f>
        <v/>
      </c>
      <c r="K868">
        <f>SUM(C868)</f>
        <v/>
      </c>
      <c r="L868">
        <f>SUM(K868,D868)</f>
        <v/>
      </c>
      <c r="M868">
        <f>SUM(L868,E868,F868)</f>
        <v/>
      </c>
      <c r="N868">
        <f>IF(L868=0, -1, K868/L868)</f>
        <v/>
      </c>
      <c r="O868">
        <f>IF(M868=0, -1, K868/M868)</f>
        <v/>
      </c>
      <c r="P868">
        <f>IF(M868=0, -1, L868/M868)</f>
        <v/>
      </c>
    </row>
    <row r="869">
      <c r="A869" t="inlineStr">
        <is>
          <t>RC00947</t>
        </is>
      </c>
      <c r="B869" t="inlineStr">
        <is>
          <t>西京学院</t>
        </is>
      </c>
      <c r="C869" t="n">
        <v>0</v>
      </c>
      <c r="D869" t="n">
        <v>0</v>
      </c>
      <c r="E869" t="n">
        <v>2</v>
      </c>
      <c r="F869" t="n">
        <v>14</v>
      </c>
      <c r="G869" t="n">
        <v>24829.09693139178</v>
      </c>
      <c r="H869" t="n">
        <v>84.51919116975955</v>
      </c>
      <c r="I869">
        <f>IF(H869=0, 0, G869/H869)</f>
        <v/>
      </c>
      <c r="J869">
        <f>RANK(I869, I$2:I$1111, 0)</f>
        <v/>
      </c>
      <c r="K869">
        <f>SUM(C869)</f>
        <v/>
      </c>
      <c r="L869">
        <f>SUM(K869,D869)</f>
        <v/>
      </c>
      <c r="M869">
        <f>SUM(L869,E869,F869)</f>
        <v/>
      </c>
      <c r="N869">
        <f>IF(L869=0, -1, K869/L869)</f>
        <v/>
      </c>
      <c r="O869">
        <f>IF(M869=0, -1, K869/M869)</f>
        <v/>
      </c>
      <c r="P869">
        <f>IF(M869=0, -1, L869/M869)</f>
        <v/>
      </c>
    </row>
    <row r="870">
      <c r="A870" t="inlineStr">
        <is>
          <t>RC00529</t>
        </is>
      </c>
      <c r="B870" t="inlineStr">
        <is>
          <t>安阳工学院</t>
        </is>
      </c>
      <c r="C870" t="n">
        <v>0</v>
      </c>
      <c r="D870" t="n">
        <v>0</v>
      </c>
      <c r="E870" t="n">
        <v>1</v>
      </c>
      <c r="F870" t="n">
        <v>9</v>
      </c>
      <c r="G870" t="n">
        <v>15274.91675451927</v>
      </c>
      <c r="H870" t="n">
        <v>51.85521638572819</v>
      </c>
      <c r="I870">
        <f>IF(H870=0, 0, G870/H870)</f>
        <v/>
      </c>
      <c r="J870">
        <f>RANK(I870, I$2:I$1111, 0)</f>
        <v/>
      </c>
      <c r="K870">
        <f>SUM(C870)</f>
        <v/>
      </c>
      <c r="L870">
        <f>SUM(K870,D870)</f>
        <v/>
      </c>
      <c r="M870">
        <f>SUM(L870,E870,F870)</f>
        <v/>
      </c>
      <c r="N870">
        <f>IF(L870=0, -1, K870/L870)</f>
        <v/>
      </c>
      <c r="O870">
        <f>IF(M870=0, -1, K870/M870)</f>
        <v/>
      </c>
      <c r="P870">
        <f>IF(M870=0, -1, L870/M870)</f>
        <v/>
      </c>
    </row>
    <row r="871">
      <c r="A871" t="inlineStr">
        <is>
          <t>RC00769</t>
        </is>
      </c>
      <c r="B871" t="inlineStr">
        <is>
          <t>兰州工业学院</t>
        </is>
      </c>
      <c r="C871" t="n">
        <v>0</v>
      </c>
      <c r="D871" t="n">
        <v>0</v>
      </c>
      <c r="E871" t="n">
        <v>1</v>
      </c>
      <c r="F871" t="n">
        <v>10</v>
      </c>
      <c r="G871" t="n">
        <v>16536.13132047927</v>
      </c>
      <c r="H871" t="n">
        <v>55.26895147700169</v>
      </c>
      <c r="I871">
        <f>IF(H871=0, 0, G871/H871)</f>
        <v/>
      </c>
      <c r="J871">
        <f>RANK(I871, I$2:I$1111, 0)</f>
        <v/>
      </c>
      <c r="K871">
        <f>SUM(C871)</f>
        <v/>
      </c>
      <c r="L871">
        <f>SUM(K871,D871)</f>
        <v/>
      </c>
      <c r="M871">
        <f>SUM(L871,E871,F871)</f>
        <v/>
      </c>
      <c r="N871">
        <f>IF(L871=0, -1, K871/L871)</f>
        <v/>
      </c>
      <c r="O871">
        <f>IF(M871=0, -1, K871/M871)</f>
        <v/>
      </c>
      <c r="P871">
        <f>IF(M871=0, -1, L871/M871)</f>
        <v/>
      </c>
    </row>
    <row r="872">
      <c r="A872" t="inlineStr">
        <is>
          <t>RC00185</t>
        </is>
      </c>
      <c r="B872" t="inlineStr">
        <is>
          <t>河北建筑工程学院</t>
        </is>
      </c>
      <c r="C872" t="n">
        <v>0</v>
      </c>
      <c r="D872" t="n">
        <v>0</v>
      </c>
      <c r="E872" t="n">
        <v>1</v>
      </c>
      <c r="F872" t="n">
        <v>19</v>
      </c>
      <c r="G872" t="n">
        <v>31464.57963793775</v>
      </c>
      <c r="H872" t="n">
        <v>104.8521703549003</v>
      </c>
      <c r="I872">
        <f>IF(H872=0, 0, G872/H872)</f>
        <v/>
      </c>
      <c r="J872">
        <f>RANK(I872, I$2:I$1111, 0)</f>
        <v/>
      </c>
      <c r="K872">
        <f>SUM(C872)</f>
        <v/>
      </c>
      <c r="L872">
        <f>SUM(K872,D872)</f>
        <v/>
      </c>
      <c r="M872">
        <f>SUM(L872,E872,F872)</f>
        <v/>
      </c>
      <c r="N872">
        <f>IF(L872=0, -1, K872/L872)</f>
        <v/>
      </c>
      <c r="O872">
        <f>IF(M872=0, -1, K872/M872)</f>
        <v/>
      </c>
      <c r="P872">
        <f>IF(M872=0, -1, L872/M872)</f>
        <v/>
      </c>
    </row>
    <row r="873">
      <c r="A873" t="inlineStr">
        <is>
          <t>RC01242</t>
        </is>
      </c>
      <c r="B873" t="inlineStr">
        <is>
          <t>天津中德应用技术大学</t>
        </is>
      </c>
      <c r="C873" t="n">
        <v>0</v>
      </c>
      <c r="D873" t="n">
        <v>0</v>
      </c>
      <c r="E873" t="n">
        <v>2</v>
      </c>
      <c r="F873" t="n">
        <v>11</v>
      </c>
      <c r="G873" t="n">
        <v>20882.17189246636</v>
      </c>
      <c r="H873" t="n">
        <v>62.50011748143925</v>
      </c>
      <c r="I873">
        <f>IF(H873=0, 0, G873/H873)</f>
        <v/>
      </c>
      <c r="J873">
        <f>RANK(I873, I$2:I$1111, 0)</f>
        <v/>
      </c>
      <c r="K873">
        <f>SUM(C873)</f>
        <v/>
      </c>
      <c r="L873">
        <f>SUM(K873,D873)</f>
        <v/>
      </c>
      <c r="M873">
        <f>SUM(L873,E873,F873)</f>
        <v/>
      </c>
      <c r="N873">
        <f>IF(L873=0, -1, K873/L873)</f>
        <v/>
      </c>
      <c r="O873">
        <f>IF(M873=0, -1, K873/M873)</f>
        <v/>
      </c>
      <c r="P873">
        <f>IF(M873=0, -1, L873/M873)</f>
        <v/>
      </c>
    </row>
    <row r="874">
      <c r="A874" t="inlineStr">
        <is>
          <t>RC00942</t>
        </is>
      </c>
      <c r="B874" t="inlineStr">
        <is>
          <t>云南工商学院</t>
        </is>
      </c>
      <c r="C874" t="n">
        <v>0</v>
      </c>
      <c r="D874" t="n">
        <v>0</v>
      </c>
      <c r="E874" t="n">
        <v>0</v>
      </c>
      <c r="F874" t="n">
        <v>2</v>
      </c>
      <c r="G874" t="n">
        <v>2688.286602171192</v>
      </c>
      <c r="H874" t="n">
        <v>11.15222815644446</v>
      </c>
      <c r="I874">
        <f>IF(H874=0, 0, G874/H874)</f>
        <v/>
      </c>
      <c r="J874">
        <f>RANK(I874, I$2:I$1111, 0)</f>
        <v/>
      </c>
      <c r="K874">
        <f>SUM(C874)</f>
        <v/>
      </c>
      <c r="L874">
        <f>SUM(K874,D874)</f>
        <v/>
      </c>
      <c r="M874">
        <f>SUM(L874,E874,F874)</f>
        <v/>
      </c>
      <c r="N874">
        <f>IF(L874=0, -1, K874/L874)</f>
        <v/>
      </c>
      <c r="O874">
        <f>IF(M874=0, -1, K874/M874)</f>
        <v/>
      </c>
      <c r="P874">
        <f>IF(M874=0, -1, L874/M874)</f>
        <v/>
      </c>
    </row>
    <row r="875">
      <c r="A875" t="inlineStr">
        <is>
          <t>RC00872</t>
        </is>
      </c>
      <c r="B875" t="inlineStr">
        <is>
          <t>安徽三联学院</t>
        </is>
      </c>
      <c r="C875" t="n">
        <v>0</v>
      </c>
      <c r="D875" t="n">
        <v>0</v>
      </c>
      <c r="E875" t="n">
        <v>0</v>
      </c>
      <c r="F875" t="n">
        <v>6</v>
      </c>
      <c r="G875" t="n">
        <v>8240.651333842588</v>
      </c>
      <c r="H875" t="n">
        <v>27.00458622096734</v>
      </c>
      <c r="I875">
        <f>IF(H875=0, 0, G875/H875)</f>
        <v/>
      </c>
      <c r="J875">
        <f>RANK(I875, I$2:I$1111, 0)</f>
        <v/>
      </c>
      <c r="K875">
        <f>SUM(C875)</f>
        <v/>
      </c>
      <c r="L875">
        <f>SUM(K875,D875)</f>
        <v/>
      </c>
      <c r="M875">
        <f>SUM(L875,E875,F875)</f>
        <v/>
      </c>
      <c r="N875">
        <f>IF(L875=0, -1, K875/L875)</f>
        <v/>
      </c>
      <c r="O875">
        <f>IF(M875=0, -1, K875/M875)</f>
        <v/>
      </c>
      <c r="P875">
        <f>IF(M875=0, -1, L875/M875)</f>
        <v/>
      </c>
    </row>
    <row r="876">
      <c r="A876" t="inlineStr">
        <is>
          <t>RC00893</t>
        </is>
      </c>
      <c r="B876" t="inlineStr">
        <is>
          <t>山东协和学院</t>
        </is>
      </c>
      <c r="C876" t="n">
        <v>0</v>
      </c>
      <c r="D876" t="n">
        <v>0</v>
      </c>
      <c r="E876" t="n">
        <v>0</v>
      </c>
      <c r="F876" t="n">
        <v>10</v>
      </c>
      <c r="G876" t="n">
        <v>13381.65170601847</v>
      </c>
      <c r="H876" t="n">
        <v>49.53847928889478</v>
      </c>
      <c r="I876">
        <f>IF(H876=0, 0, G876/H876)</f>
        <v/>
      </c>
      <c r="J876">
        <f>RANK(I876, I$2:I$1111, 0)</f>
        <v/>
      </c>
      <c r="K876">
        <f>SUM(C876)</f>
        <v/>
      </c>
      <c r="L876">
        <f>SUM(K876,D876)</f>
        <v/>
      </c>
      <c r="M876">
        <f>SUM(L876,E876,F876)</f>
        <v/>
      </c>
      <c r="N876">
        <f>IF(L876=0, -1, K876/L876)</f>
        <v/>
      </c>
      <c r="O876">
        <f>IF(M876=0, -1, K876/M876)</f>
        <v/>
      </c>
      <c r="P876">
        <f>IF(M876=0, -1, L876/M876)</f>
        <v/>
      </c>
    </row>
    <row r="877">
      <c r="A877" t="inlineStr">
        <is>
          <t>RC00388</t>
        </is>
      </c>
      <c r="B877" t="inlineStr">
        <is>
          <t>中国美术学院</t>
        </is>
      </c>
      <c r="C877" t="n">
        <v>16</v>
      </c>
      <c r="D877" t="n">
        <v>7</v>
      </c>
      <c r="E877" t="n">
        <v>4</v>
      </c>
      <c r="F877" t="n">
        <v>0</v>
      </c>
      <c r="G877" t="n">
        <v>91606.59956027439</v>
      </c>
      <c r="H877" t="n">
        <v>106.6511361875916</v>
      </c>
      <c r="I877">
        <f>IF(H877=0, 0, G877/H877)</f>
        <v/>
      </c>
      <c r="J877">
        <f>RANK(I877, I$2:I$1111, 0)</f>
        <v/>
      </c>
      <c r="K877">
        <f>SUM(C877)</f>
        <v/>
      </c>
      <c r="L877">
        <f>SUM(K877,D877)</f>
        <v/>
      </c>
      <c r="M877">
        <f>SUM(L877,E877,F877)</f>
        <v/>
      </c>
      <c r="N877">
        <f>IF(L877=0, -1, K877/L877)</f>
        <v/>
      </c>
      <c r="O877">
        <f>IF(M877=0, -1, K877/M877)</f>
        <v/>
      </c>
      <c r="P877">
        <f>IF(M877=0, -1, L877/M877)</f>
        <v/>
      </c>
    </row>
    <row r="878">
      <c r="A878" t="inlineStr">
        <is>
          <t>RC00491</t>
        </is>
      </c>
      <c r="B878" t="inlineStr">
        <is>
          <t>山东工艺美术学院</t>
        </is>
      </c>
      <c r="C878" t="n">
        <v>4</v>
      </c>
      <c r="D878" t="n">
        <v>7</v>
      </c>
      <c r="E878" t="n">
        <v>11</v>
      </c>
      <c r="F878" t="n">
        <v>6</v>
      </c>
      <c r="G878" t="n">
        <v>70044.52968179538</v>
      </c>
      <c r="H878" t="n">
        <v>115.7576182926407</v>
      </c>
      <c r="I878">
        <f>IF(H878=0, 0, G878/H878)</f>
        <v/>
      </c>
      <c r="J878">
        <f>RANK(I878, I$2:I$1111, 0)</f>
        <v/>
      </c>
      <c r="K878">
        <f>SUM(C878)</f>
        <v/>
      </c>
      <c r="L878">
        <f>SUM(K878,D878)</f>
        <v/>
      </c>
      <c r="M878">
        <f>SUM(L878,E878,F878)</f>
        <v/>
      </c>
      <c r="N878">
        <f>IF(L878=0, -1, K878/L878)</f>
        <v/>
      </c>
      <c r="O878">
        <f>IF(M878=0, -1, K878/M878)</f>
        <v/>
      </c>
      <c r="P878">
        <f>IF(M878=0, -1, L878/M878)</f>
        <v/>
      </c>
    </row>
    <row r="879">
      <c r="A879" t="inlineStr">
        <is>
          <t>RC00952</t>
        </is>
      </c>
      <c r="B879" t="inlineStr">
        <is>
          <t>宁夏理工学院</t>
        </is>
      </c>
      <c r="C879" t="n">
        <v>0</v>
      </c>
      <c r="D879" t="n">
        <v>0</v>
      </c>
      <c r="E879" t="n">
        <v>1</v>
      </c>
      <c r="F879" t="n">
        <v>3</v>
      </c>
      <c r="G879" t="n">
        <v>6594.960753293483</v>
      </c>
      <c r="H879" t="n">
        <v>21.18862509779048</v>
      </c>
      <c r="I879">
        <f>IF(H879=0, 0, G879/H879)</f>
        <v/>
      </c>
      <c r="J879">
        <f>RANK(I879, I$2:I$1111, 0)</f>
        <v/>
      </c>
      <c r="K879">
        <f>SUM(C879)</f>
        <v/>
      </c>
      <c r="L879">
        <f>SUM(K879,D879)</f>
        <v/>
      </c>
      <c r="M879">
        <f>SUM(L879,E879,F879)</f>
        <v/>
      </c>
      <c r="N879">
        <f>IF(L879=0, -1, K879/L879)</f>
        <v/>
      </c>
      <c r="O879">
        <f>IF(M879=0, -1, K879/M879)</f>
        <v/>
      </c>
      <c r="P879">
        <f>IF(M879=0, -1, L879/M879)</f>
        <v/>
      </c>
    </row>
    <row r="880">
      <c r="A880" t="inlineStr">
        <is>
          <t>RC01150</t>
        </is>
      </c>
      <c r="B880" t="inlineStr">
        <is>
          <t>长沙理工大学城南学院</t>
        </is>
      </c>
      <c r="C880" t="n">
        <v>0</v>
      </c>
      <c r="D880" t="n">
        <v>0</v>
      </c>
      <c r="E880" t="n">
        <v>1</v>
      </c>
      <c r="F880" t="n">
        <v>2</v>
      </c>
      <c r="G880" t="n">
        <v>3803.86250639321</v>
      </c>
      <c r="H880" t="n">
        <v>16.29053958425586</v>
      </c>
      <c r="I880">
        <f>IF(H880=0, 0, G880/H880)</f>
        <v/>
      </c>
      <c r="J880">
        <f>RANK(I880, I$2:I$1111, 0)</f>
        <v/>
      </c>
      <c r="K880">
        <f>SUM(C880)</f>
        <v/>
      </c>
      <c r="L880">
        <f>SUM(K880,D880)</f>
        <v/>
      </c>
      <c r="M880">
        <f>SUM(L880,E880,F880)</f>
        <v/>
      </c>
      <c r="N880">
        <f>IF(L880=0, -1, K880/L880)</f>
        <v/>
      </c>
      <c r="O880">
        <f>IF(M880=0, -1, K880/M880)</f>
        <v/>
      </c>
      <c r="P880">
        <f>IF(M880=0, -1, L880/M880)</f>
        <v/>
      </c>
    </row>
    <row r="881">
      <c r="A881" t="inlineStr">
        <is>
          <t>RC01192</t>
        </is>
      </c>
      <c r="B881" t="inlineStr">
        <is>
          <t>成都理工大学工程技术学院</t>
        </is>
      </c>
      <c r="C881" t="n">
        <v>0</v>
      </c>
      <c r="D881" t="n">
        <v>0</v>
      </c>
      <c r="E881" t="n">
        <v>0</v>
      </c>
      <c r="F881" t="n">
        <v>3</v>
      </c>
      <c r="G881" t="n">
        <v>3635.223778256376</v>
      </c>
      <c r="H881" t="n">
        <v>12.91775694708853</v>
      </c>
      <c r="I881">
        <f>IF(H881=0, 0, G881/H881)</f>
        <v/>
      </c>
      <c r="J881">
        <f>RANK(I881, I$2:I$1111, 0)</f>
        <v/>
      </c>
      <c r="K881">
        <f>SUM(C881)</f>
        <v/>
      </c>
      <c r="L881">
        <f>SUM(K881,D881)</f>
        <v/>
      </c>
      <c r="M881">
        <f>SUM(L881,E881,F881)</f>
        <v/>
      </c>
      <c r="N881">
        <f>IF(L881=0, -1, K881/L881)</f>
        <v/>
      </c>
      <c r="O881">
        <f>IF(M881=0, -1, K881/M881)</f>
        <v/>
      </c>
      <c r="P881">
        <f>IF(M881=0, -1, L881/M881)</f>
        <v/>
      </c>
    </row>
    <row r="882">
      <c r="A882" t="inlineStr">
        <is>
          <t>RC00956</t>
        </is>
      </c>
      <c r="B882" t="inlineStr">
        <is>
          <t>山东现代学院</t>
        </is>
      </c>
      <c r="C882" t="n">
        <v>0</v>
      </c>
      <c r="D882" t="n">
        <v>0</v>
      </c>
      <c r="E882" t="n">
        <v>0</v>
      </c>
      <c r="F882" t="n">
        <v>1</v>
      </c>
      <c r="G882" t="n">
        <v>1343.200368153288</v>
      </c>
      <c r="H882" t="n">
        <v>4.430816798843313</v>
      </c>
      <c r="I882">
        <f>IF(H882=0, 0, G882/H882)</f>
        <v/>
      </c>
      <c r="J882">
        <f>RANK(I882, I$2:I$1111, 0)</f>
        <v/>
      </c>
      <c r="K882">
        <f>SUM(C882)</f>
        <v/>
      </c>
      <c r="L882">
        <f>SUM(K882,D882)</f>
        <v/>
      </c>
      <c r="M882">
        <f>SUM(L882,E882,F882)</f>
        <v/>
      </c>
      <c r="N882">
        <f>IF(L882=0, -1, K882/L882)</f>
        <v/>
      </c>
      <c r="O882">
        <f>IF(M882=0, -1, K882/M882)</f>
        <v/>
      </c>
      <c r="P882">
        <f>IF(M882=0, -1, L882/M882)</f>
        <v/>
      </c>
    </row>
    <row r="883">
      <c r="A883" t="inlineStr">
        <is>
          <t>RC01031</t>
        </is>
      </c>
      <c r="B883" t="inlineStr">
        <is>
          <t>南京工业大学浦江学院</t>
        </is>
      </c>
      <c r="C883" t="n">
        <v>0</v>
      </c>
      <c r="D883" t="n">
        <v>0</v>
      </c>
      <c r="E883" t="n">
        <v>0</v>
      </c>
      <c r="F883" t="n">
        <v>2</v>
      </c>
      <c r="G883" t="n">
        <v>2529.818650610316</v>
      </c>
      <c r="H883" t="n">
        <v>8.34283980427146</v>
      </c>
      <c r="I883">
        <f>IF(H883=0, 0, G883/H883)</f>
        <v/>
      </c>
      <c r="J883">
        <f>RANK(I883, I$2:I$1111, 0)</f>
        <v/>
      </c>
      <c r="K883">
        <f>SUM(C883)</f>
        <v/>
      </c>
      <c r="L883">
        <f>SUM(K883,D883)</f>
        <v/>
      </c>
      <c r="M883">
        <f>SUM(L883,E883,F883)</f>
        <v/>
      </c>
      <c r="N883">
        <f>IF(L883=0, -1, K883/L883)</f>
        <v/>
      </c>
      <c r="O883">
        <f>IF(M883=0, -1, K883/M883)</f>
        <v/>
      </c>
      <c r="P883">
        <f>IF(M883=0, -1, L883/M883)</f>
        <v/>
      </c>
    </row>
    <row r="884">
      <c r="A884" t="inlineStr">
        <is>
          <t>RC00811</t>
        </is>
      </c>
      <c r="B884" t="inlineStr">
        <is>
          <t>滇西应用技术大学</t>
        </is>
      </c>
      <c r="C884" t="n">
        <v>0</v>
      </c>
      <c r="D884" t="n">
        <v>0</v>
      </c>
      <c r="E884" t="n">
        <v>2</v>
      </c>
      <c r="F884" t="n">
        <v>5</v>
      </c>
      <c r="G884" t="n">
        <v>10256.61724520183</v>
      </c>
      <c r="H884" t="n">
        <v>28.45874346035424</v>
      </c>
      <c r="I884">
        <f>IF(H884=0, 0, G884/H884)</f>
        <v/>
      </c>
      <c r="J884">
        <f>RANK(I884, I$2:I$1111, 0)</f>
        <v/>
      </c>
      <c r="K884">
        <f>SUM(C884)</f>
        <v/>
      </c>
      <c r="L884">
        <f>SUM(K884,D884)</f>
        <v/>
      </c>
      <c r="M884">
        <f>SUM(L884,E884,F884)</f>
        <v/>
      </c>
      <c r="N884">
        <f>IF(L884=0, -1, K884/L884)</f>
        <v/>
      </c>
      <c r="O884">
        <f>IF(M884=0, -1, K884/M884)</f>
        <v/>
      </c>
      <c r="P884">
        <f>IF(M884=0, -1, L884/M884)</f>
        <v/>
      </c>
    </row>
    <row r="885">
      <c r="A885" t="inlineStr">
        <is>
          <t>RC00792</t>
        </is>
      </c>
      <c r="B885" t="inlineStr">
        <is>
          <t>鄂尔多斯应用技术学院</t>
        </is>
      </c>
      <c r="C885" t="n">
        <v>0</v>
      </c>
      <c r="D885" t="n">
        <v>0</v>
      </c>
      <c r="E885" t="n">
        <v>0</v>
      </c>
      <c r="F885" t="n">
        <v>2</v>
      </c>
      <c r="G885" t="n">
        <v>2986.662921458331</v>
      </c>
      <c r="H885" t="n">
        <v>9.421249385622049</v>
      </c>
      <c r="I885">
        <f>IF(H885=0, 0, G885/H885)</f>
        <v/>
      </c>
      <c r="J885">
        <f>RANK(I885, I$2:I$1111, 0)</f>
        <v/>
      </c>
      <c r="K885">
        <f>SUM(C885)</f>
        <v/>
      </c>
      <c r="L885">
        <f>SUM(K885,D885)</f>
        <v/>
      </c>
      <c r="M885">
        <f>SUM(L885,E885,F885)</f>
        <v/>
      </c>
      <c r="N885">
        <f>IF(L885=0, -1, K885/L885)</f>
        <v/>
      </c>
      <c r="O885">
        <f>IF(M885=0, -1, K885/M885)</f>
        <v/>
      </c>
      <c r="P885">
        <f>IF(M885=0, -1, L885/M885)</f>
        <v/>
      </c>
    </row>
    <row r="886">
      <c r="A886" t="inlineStr">
        <is>
          <t>RC00898</t>
        </is>
      </c>
      <c r="B886" t="inlineStr">
        <is>
          <t>郑州科技学院</t>
        </is>
      </c>
      <c r="C886" t="n">
        <v>0</v>
      </c>
      <c r="D886" t="n">
        <v>0</v>
      </c>
      <c r="E886" t="n">
        <v>0</v>
      </c>
      <c r="F886" t="n">
        <v>4</v>
      </c>
      <c r="G886" t="n">
        <v>4996.483428191214</v>
      </c>
      <c r="H886" t="n">
        <v>18.50065944957781</v>
      </c>
      <c r="I886">
        <f>IF(H886=0, 0, G886/H886)</f>
        <v/>
      </c>
      <c r="J886">
        <f>RANK(I886, I$2:I$1111, 0)</f>
        <v/>
      </c>
      <c r="K886">
        <f>SUM(C886)</f>
        <v/>
      </c>
      <c r="L886">
        <f>SUM(K886,D886)</f>
        <v/>
      </c>
      <c r="M886">
        <f>SUM(L886,E886,F886)</f>
        <v/>
      </c>
      <c r="N886">
        <f>IF(L886=0, -1, K886/L886)</f>
        <v/>
      </c>
      <c r="O886">
        <f>IF(M886=0, -1, K886/M886)</f>
        <v/>
      </c>
      <c r="P886">
        <f>IF(M886=0, -1, L886/M886)</f>
        <v/>
      </c>
    </row>
    <row r="887">
      <c r="A887" t="inlineStr">
        <is>
          <t>RC00880</t>
        </is>
      </c>
      <c r="B887" t="inlineStr">
        <is>
          <t>江西科技学院</t>
        </is>
      </c>
      <c r="C887" t="n">
        <v>0</v>
      </c>
      <c r="D887" t="n">
        <v>0</v>
      </c>
      <c r="E887" t="n">
        <v>0</v>
      </c>
      <c r="F887" t="n">
        <v>1</v>
      </c>
      <c r="G887" t="n">
        <v>1247.257484713768</v>
      </c>
      <c r="H887" t="n">
        <v>4.430816798843313</v>
      </c>
      <c r="I887">
        <f>IF(H887=0, 0, G887/H887)</f>
        <v/>
      </c>
      <c r="J887">
        <f>RANK(I887, I$2:I$1111, 0)</f>
        <v/>
      </c>
      <c r="K887">
        <f>SUM(C887)</f>
        <v/>
      </c>
      <c r="L887">
        <f>SUM(K887,D887)</f>
        <v/>
      </c>
      <c r="M887">
        <f>SUM(L887,E887,F887)</f>
        <v/>
      </c>
      <c r="N887">
        <f>IF(L887=0, -1, K887/L887)</f>
        <v/>
      </c>
      <c r="O887">
        <f>IF(M887=0, -1, K887/M887)</f>
        <v/>
      </c>
      <c r="P887">
        <f>IF(M887=0, -1, L887/M887)</f>
        <v/>
      </c>
    </row>
    <row r="888">
      <c r="A888" t="inlineStr">
        <is>
          <t>RC00862</t>
        </is>
      </c>
      <c r="B888" t="inlineStr">
        <is>
          <t>南通理工学院</t>
        </is>
      </c>
      <c r="C888" t="n">
        <v>0</v>
      </c>
      <c r="D888" t="n">
        <v>0</v>
      </c>
      <c r="E888" t="n">
        <v>0</v>
      </c>
      <c r="F888" t="n">
        <v>2</v>
      </c>
      <c r="G888" t="n">
        <v>2409.16175341999</v>
      </c>
      <c r="H888" t="n">
        <v>8.34283980427146</v>
      </c>
      <c r="I888">
        <f>IF(H888=0, 0, G888/H888)</f>
        <v/>
      </c>
      <c r="J888">
        <f>RANK(I888, I$2:I$1111, 0)</f>
        <v/>
      </c>
      <c r="K888">
        <f>SUM(C888)</f>
        <v/>
      </c>
      <c r="L888">
        <f>SUM(K888,D888)</f>
        <v/>
      </c>
      <c r="M888">
        <f>SUM(L888,E888,F888)</f>
        <v/>
      </c>
      <c r="N888">
        <f>IF(L888=0, -1, K888/L888)</f>
        <v/>
      </c>
      <c r="O888">
        <f>IF(M888=0, -1, K888/M888)</f>
        <v/>
      </c>
      <c r="P888">
        <f>IF(M888=0, -1, L888/M888)</f>
        <v/>
      </c>
    </row>
    <row r="889">
      <c r="A889" t="inlineStr">
        <is>
          <t>RC01079</t>
        </is>
      </c>
      <c r="B889" t="inlineStr">
        <is>
          <t>阜阳理工学院</t>
        </is>
      </c>
      <c r="C889" t="n">
        <v>0</v>
      </c>
      <c r="D889" t="n">
        <v>0</v>
      </c>
      <c r="E889" t="n">
        <v>0</v>
      </c>
      <c r="F889" t="n">
        <v>7</v>
      </c>
      <c r="G889" t="n">
        <v>9748.823254754705</v>
      </c>
      <c r="H889" t="n">
        <v>33.79362412919792</v>
      </c>
      <c r="I889">
        <f>IF(H889=0, 0, G889/H889)</f>
        <v/>
      </c>
      <c r="J889">
        <f>RANK(I889, I$2:I$1111, 0)</f>
        <v/>
      </c>
      <c r="K889">
        <f>SUM(C889)</f>
        <v/>
      </c>
      <c r="L889">
        <f>SUM(K889,D889)</f>
        <v/>
      </c>
      <c r="M889">
        <f>SUM(L889,E889,F889)</f>
        <v/>
      </c>
      <c r="N889">
        <f>IF(L889=0, -1, K889/L889)</f>
        <v/>
      </c>
      <c r="O889">
        <f>IF(M889=0, -1, K889/M889)</f>
        <v/>
      </c>
      <c r="P889">
        <f>IF(M889=0, -1, L889/M889)</f>
        <v/>
      </c>
    </row>
    <row r="890">
      <c r="A890" t="inlineStr">
        <is>
          <t>RC01194</t>
        </is>
      </c>
      <c r="B890" t="inlineStr">
        <is>
          <t>四川工商学院</t>
        </is>
      </c>
      <c r="C890" t="n">
        <v>0</v>
      </c>
      <c r="D890" t="n">
        <v>0</v>
      </c>
      <c r="E890" t="n">
        <v>1</v>
      </c>
      <c r="F890" t="n">
        <v>5</v>
      </c>
      <c r="G890" t="n">
        <v>8199.58504349525</v>
      </c>
      <c r="H890" t="n">
        <v>27.93691050954621</v>
      </c>
      <c r="I890">
        <f>IF(H890=0, 0, G890/H890)</f>
        <v/>
      </c>
      <c r="J890">
        <f>RANK(I890, I$2:I$1111, 0)</f>
        <v/>
      </c>
      <c r="K890">
        <f>SUM(C890)</f>
        <v/>
      </c>
      <c r="L890">
        <f>SUM(K890,D890)</f>
        <v/>
      </c>
      <c r="M890">
        <f>SUM(L890,E890,F890)</f>
        <v/>
      </c>
      <c r="N890">
        <f>IF(L890=0, -1, K890/L890)</f>
        <v/>
      </c>
      <c r="O890">
        <f>IF(M890=0, -1, K890/M890)</f>
        <v/>
      </c>
      <c r="P890">
        <f>IF(M890=0, -1, L890/M890)</f>
        <v/>
      </c>
    </row>
    <row r="891">
      <c r="A891" t="inlineStr">
        <is>
          <t>RC01000</t>
        </is>
      </c>
      <c r="B891" t="inlineStr">
        <is>
          <t>内蒙古大学创业学院</t>
        </is>
      </c>
      <c r="C891" t="n">
        <v>0</v>
      </c>
      <c r="D891" t="n">
        <v>0</v>
      </c>
      <c r="E891" t="n">
        <v>0</v>
      </c>
      <c r="F891" t="n">
        <v>2</v>
      </c>
      <c r="G891" t="n">
        <v>2814.140613073483</v>
      </c>
      <c r="H891" t="n">
        <v>9.005527777346696</v>
      </c>
      <c r="I891">
        <f>IF(H891=0, 0, G891/H891)</f>
        <v/>
      </c>
      <c r="J891">
        <f>RANK(I891, I$2:I$1111, 0)</f>
        <v/>
      </c>
      <c r="K891">
        <f>SUM(C891)</f>
        <v/>
      </c>
      <c r="L891">
        <f>SUM(K891,D891)</f>
        <v/>
      </c>
      <c r="M891">
        <f>SUM(L891,E891,F891)</f>
        <v/>
      </c>
      <c r="N891">
        <f>IF(L891=0, -1, K891/L891)</f>
        <v/>
      </c>
      <c r="O891">
        <f>IF(M891=0, -1, K891/M891)</f>
        <v/>
      </c>
      <c r="P891">
        <f>IF(M891=0, -1, L891/M891)</f>
        <v/>
      </c>
    </row>
    <row r="892">
      <c r="A892" t="inlineStr">
        <is>
          <t>RC01127</t>
        </is>
      </c>
      <c r="B892" t="inlineStr">
        <is>
          <t>武汉城市学院</t>
        </is>
      </c>
      <c r="C892" t="n">
        <v>0</v>
      </c>
      <c r="D892" t="n">
        <v>0</v>
      </c>
      <c r="E892" t="n">
        <v>0</v>
      </c>
      <c r="F892" t="n">
        <v>3</v>
      </c>
      <c r="G892" t="n">
        <v>3988.376000205011</v>
      </c>
      <c r="H892" t="n">
        <v>15.42018594756873</v>
      </c>
      <c r="I892">
        <f>IF(H892=0, 0, G892/H892)</f>
        <v/>
      </c>
      <c r="J892">
        <f>RANK(I892, I$2:I$1111, 0)</f>
        <v/>
      </c>
      <c r="K892">
        <f>SUM(C892)</f>
        <v/>
      </c>
      <c r="L892">
        <f>SUM(K892,D892)</f>
        <v/>
      </c>
      <c r="M892">
        <f>SUM(L892,E892,F892)</f>
        <v/>
      </c>
      <c r="N892">
        <f>IF(L892=0, -1, K892/L892)</f>
        <v/>
      </c>
      <c r="O892">
        <f>IF(M892=0, -1, K892/M892)</f>
        <v/>
      </c>
      <c r="P892">
        <f>IF(M892=0, -1, L892/M892)</f>
        <v/>
      </c>
    </row>
    <row r="893">
      <c r="A893" t="inlineStr">
        <is>
          <t>RC00823</t>
        </is>
      </c>
      <c r="B893" t="inlineStr">
        <is>
          <t>河北科技学院</t>
        </is>
      </c>
      <c r="C893" t="n">
        <v>0</v>
      </c>
      <c r="D893" t="n">
        <v>0</v>
      </c>
      <c r="E893" t="n">
        <v>0</v>
      </c>
      <c r="F893" t="n">
        <v>3</v>
      </c>
      <c r="G893" t="n">
        <v>4024.422963424564</v>
      </c>
      <c r="H893" t="n">
        <v>14.96807300841989</v>
      </c>
      <c r="I893">
        <f>IF(H893=0, 0, G893/H893)</f>
        <v/>
      </c>
      <c r="J893">
        <f>RANK(I893, I$2:I$1111, 0)</f>
        <v/>
      </c>
      <c r="K893">
        <f>SUM(C893)</f>
        <v/>
      </c>
      <c r="L893">
        <f>SUM(K893,D893)</f>
        <v/>
      </c>
      <c r="M893">
        <f>SUM(L893,E893,F893)</f>
        <v/>
      </c>
      <c r="N893">
        <f>IF(L893=0, -1, K893/L893)</f>
        <v/>
      </c>
      <c r="O893">
        <f>IF(M893=0, -1, K893/M893)</f>
        <v/>
      </c>
      <c r="P893">
        <f>IF(M893=0, -1, L893/M893)</f>
        <v/>
      </c>
    </row>
    <row r="894">
      <c r="A894" t="inlineStr">
        <is>
          <t>RC00826</t>
        </is>
      </c>
      <c r="B894" t="inlineStr">
        <is>
          <t>山西应用科技学院</t>
        </is>
      </c>
      <c r="C894" t="n">
        <v>0</v>
      </c>
      <c r="D894" t="n">
        <v>0</v>
      </c>
      <c r="E894" t="n">
        <v>2</v>
      </c>
      <c r="F894" t="n">
        <v>5</v>
      </c>
      <c r="G894" t="n">
        <v>9751.649577054024</v>
      </c>
      <c r="H894" t="n">
        <v>32.92544445994238</v>
      </c>
      <c r="I894">
        <f>IF(H894=0, 0, G894/H894)</f>
        <v/>
      </c>
      <c r="J894">
        <f>RANK(I894, I$2:I$1111, 0)</f>
        <v/>
      </c>
      <c r="K894">
        <f>SUM(C894)</f>
        <v/>
      </c>
      <c r="L894">
        <f>SUM(K894,D894)</f>
        <v/>
      </c>
      <c r="M894">
        <f>SUM(L894,E894,F894)</f>
        <v/>
      </c>
      <c r="N894">
        <f>IF(L894=0, -1, K894/L894)</f>
        <v/>
      </c>
      <c r="O894">
        <f>IF(M894=0, -1, K894/M894)</f>
        <v/>
      </c>
      <c r="P894">
        <f>IF(M894=0, -1, L894/M894)</f>
        <v/>
      </c>
    </row>
    <row r="895">
      <c r="A895" t="inlineStr">
        <is>
          <t>RC00905</t>
        </is>
      </c>
      <c r="B895" t="inlineStr">
        <is>
          <t>郑州升达经贸管理学院</t>
        </is>
      </c>
      <c r="C895" t="n">
        <v>0</v>
      </c>
      <c r="D895" t="n">
        <v>0</v>
      </c>
      <c r="E895" t="n">
        <v>0</v>
      </c>
      <c r="F895" t="n">
        <v>3</v>
      </c>
      <c r="G895" t="n">
        <v>3789.978857015871</v>
      </c>
      <c r="H895" t="n">
        <v>14.45048610566885</v>
      </c>
      <c r="I895">
        <f>IF(H895=0, 0, G895/H895)</f>
        <v/>
      </c>
      <c r="J895">
        <f>RANK(I895, I$2:I$1111, 0)</f>
        <v/>
      </c>
      <c r="K895">
        <f>SUM(C895)</f>
        <v/>
      </c>
      <c r="L895">
        <f>SUM(K895,D895)</f>
        <v/>
      </c>
      <c r="M895">
        <f>SUM(L895,E895,F895)</f>
        <v/>
      </c>
      <c r="N895">
        <f>IF(L895=0, -1, K895/L895)</f>
        <v/>
      </c>
      <c r="O895">
        <f>IF(M895=0, -1, K895/M895)</f>
        <v/>
      </c>
      <c r="P895">
        <f>IF(M895=0, -1, L895/M895)</f>
        <v/>
      </c>
    </row>
    <row r="896">
      <c r="A896" t="inlineStr">
        <is>
          <t>RC01077</t>
        </is>
      </c>
      <c r="B896" t="inlineStr">
        <is>
          <t>合肥城市学院</t>
        </is>
      </c>
      <c r="C896" t="n">
        <v>0</v>
      </c>
      <c r="D896" t="n">
        <v>0</v>
      </c>
      <c r="E896" t="n">
        <v>0</v>
      </c>
      <c r="F896" t="n">
        <v>2</v>
      </c>
      <c r="G896" t="n">
        <v>1957.02927981606</v>
      </c>
      <c r="H896" t="n">
        <v>8.192016914536875</v>
      </c>
      <c r="I896">
        <f>IF(H896=0, 0, G896/H896)</f>
        <v/>
      </c>
      <c r="J896">
        <f>RANK(I896, I$2:I$1111, 0)</f>
        <v/>
      </c>
      <c r="K896">
        <f>SUM(C896)</f>
        <v/>
      </c>
      <c r="L896">
        <f>SUM(K896,D896)</f>
        <v/>
      </c>
      <c r="M896">
        <f>SUM(L896,E896,F896)</f>
        <v/>
      </c>
      <c r="N896">
        <f>IF(L896=0, -1, K896/L896)</f>
        <v/>
      </c>
      <c r="O896">
        <f>IF(M896=0, -1, K896/M896)</f>
        <v/>
      </c>
      <c r="P896">
        <f>IF(M896=0, -1, L896/M896)</f>
        <v/>
      </c>
    </row>
    <row r="897">
      <c r="A897" t="inlineStr">
        <is>
          <t>RC01080</t>
        </is>
      </c>
      <c r="B897" t="inlineStr">
        <is>
          <t>皖江工学院</t>
        </is>
      </c>
      <c r="C897" t="n">
        <v>0</v>
      </c>
      <c r="D897" t="n">
        <v>0</v>
      </c>
      <c r="E897" t="n">
        <v>0</v>
      </c>
      <c r="F897" t="n">
        <v>4</v>
      </c>
      <c r="G897" t="n">
        <v>5446.962158437374</v>
      </c>
      <c r="H897" t="n">
        <v>21.70349919244648</v>
      </c>
      <c r="I897">
        <f>IF(H897=0, 0, G897/H897)</f>
        <v/>
      </c>
      <c r="J897">
        <f>RANK(I897, I$2:I$1111, 0)</f>
        <v/>
      </c>
      <c r="K897">
        <f>SUM(C897)</f>
        <v/>
      </c>
      <c r="L897">
        <f>SUM(K897,D897)</f>
        <v/>
      </c>
      <c r="M897">
        <f>SUM(L897,E897,F897)</f>
        <v/>
      </c>
      <c r="N897">
        <f>IF(L897=0, -1, K897/L897)</f>
        <v/>
      </c>
      <c r="O897">
        <f>IF(M897=0, -1, K897/M897)</f>
        <v/>
      </c>
      <c r="P897">
        <f>IF(M897=0, -1, L897/M897)</f>
        <v/>
      </c>
    </row>
    <row r="898">
      <c r="A898" t="inlineStr">
        <is>
          <t>RC01039</t>
        </is>
      </c>
      <c r="B898" t="inlineStr">
        <is>
          <t>江苏大学京江学院</t>
        </is>
      </c>
      <c r="C898" t="n">
        <v>0</v>
      </c>
      <c r="D898" t="n">
        <v>0</v>
      </c>
      <c r="E898" t="n">
        <v>0</v>
      </c>
      <c r="F898" t="n">
        <v>1</v>
      </c>
      <c r="G898" t="n">
        <v>1029.205476896675</v>
      </c>
      <c r="H898" t="n">
        <v>4.430816798843313</v>
      </c>
      <c r="I898">
        <f>IF(H898=0, 0, G898/H898)</f>
        <v/>
      </c>
      <c r="J898">
        <f>RANK(I898, I$2:I$1111, 0)</f>
        <v/>
      </c>
      <c r="K898">
        <f>SUM(C898)</f>
        <v/>
      </c>
      <c r="L898">
        <f>SUM(K898,D898)</f>
        <v/>
      </c>
      <c r="M898">
        <f>SUM(L898,E898,F898)</f>
        <v/>
      </c>
      <c r="N898">
        <f>IF(L898=0, -1, K898/L898)</f>
        <v/>
      </c>
      <c r="O898">
        <f>IF(M898=0, -1, K898/M898)</f>
        <v/>
      </c>
      <c r="P898">
        <f>IF(M898=0, -1, L898/M898)</f>
        <v/>
      </c>
    </row>
    <row r="899">
      <c r="A899" t="inlineStr">
        <is>
          <t>RC00853</t>
        </is>
      </c>
      <c r="B899" t="inlineStr">
        <is>
          <t>哈尔滨剑桥学院</t>
        </is>
      </c>
      <c r="C899" t="n">
        <v>0</v>
      </c>
      <c r="D899" t="n">
        <v>0</v>
      </c>
      <c r="E899" t="n">
        <v>0</v>
      </c>
      <c r="F899" t="n">
        <v>2</v>
      </c>
      <c r="G899" t="n">
        <v>1555.438843757659</v>
      </c>
      <c r="H899" t="n">
        <v>6.040254711277414</v>
      </c>
      <c r="I899">
        <f>IF(H899=0, 0, G899/H899)</f>
        <v/>
      </c>
      <c r="J899">
        <f>RANK(I899, I$2:I$1111, 0)</f>
        <v/>
      </c>
      <c r="K899">
        <f>SUM(C899)</f>
        <v/>
      </c>
      <c r="L899">
        <f>SUM(K899,D899)</f>
        <v/>
      </c>
      <c r="M899">
        <f>SUM(L899,E899,F899)</f>
        <v/>
      </c>
      <c r="N899">
        <f>IF(L899=0, -1, K899/L899)</f>
        <v/>
      </c>
      <c r="O899">
        <f>IF(M899=0, -1, K899/M899)</f>
        <v/>
      </c>
      <c r="P899">
        <f>IF(M899=0, -1, L899/M899)</f>
        <v/>
      </c>
    </row>
    <row r="900">
      <c r="A900" t="inlineStr">
        <is>
          <t>RC00841</t>
        </is>
      </c>
      <c r="B900" t="inlineStr">
        <is>
          <t>长春光华学院</t>
        </is>
      </c>
      <c r="C900" t="n">
        <v>0</v>
      </c>
      <c r="D900" t="n">
        <v>0</v>
      </c>
      <c r="E900" t="n">
        <v>0</v>
      </c>
      <c r="F900" t="n">
        <v>8</v>
      </c>
      <c r="G900" t="n">
        <v>11688.6886865358</v>
      </c>
      <c r="H900" t="n">
        <v>38.85370397854022</v>
      </c>
      <c r="I900">
        <f>IF(H900=0, 0, G900/H900)</f>
        <v/>
      </c>
      <c r="J900">
        <f>RANK(I900, I$2:I$1111, 0)</f>
        <v/>
      </c>
      <c r="K900">
        <f>SUM(C900)</f>
        <v/>
      </c>
      <c r="L900">
        <f>SUM(K900,D900)</f>
        <v/>
      </c>
      <c r="M900">
        <f>SUM(L900,E900,F900)</f>
        <v/>
      </c>
      <c r="N900">
        <f>IF(L900=0, -1, K900/L900)</f>
        <v/>
      </c>
      <c r="O900">
        <f>IF(M900=0, -1, K900/M900)</f>
        <v/>
      </c>
      <c r="P900">
        <f>IF(M900=0, -1, L900/M900)</f>
        <v/>
      </c>
    </row>
    <row r="901">
      <c r="A901" t="inlineStr">
        <is>
          <t>RC00902</t>
        </is>
      </c>
      <c r="B901" t="inlineStr">
        <is>
          <t>商丘工学院</t>
        </is>
      </c>
      <c r="C901" t="n">
        <v>0</v>
      </c>
      <c r="D901" t="n">
        <v>0</v>
      </c>
      <c r="E901" t="n">
        <v>0</v>
      </c>
      <c r="F901" t="n">
        <v>1</v>
      </c>
      <c r="G901" t="n">
        <v>915.8184328317873</v>
      </c>
      <c r="H901" t="n">
        <v>4.430816798843313</v>
      </c>
      <c r="I901">
        <f>IF(H901=0, 0, G901/H901)</f>
        <v/>
      </c>
      <c r="J901">
        <f>RANK(I901, I$2:I$1111, 0)</f>
        <v/>
      </c>
      <c r="K901">
        <f>SUM(C901)</f>
        <v/>
      </c>
      <c r="L901">
        <f>SUM(K901,D901)</f>
        <v/>
      </c>
      <c r="M901">
        <f>SUM(L901,E901,F901)</f>
        <v/>
      </c>
      <c r="N901">
        <f>IF(L901=0, -1, K901/L901)</f>
        <v/>
      </c>
      <c r="O901">
        <f>IF(M901=0, -1, K901/M901)</f>
        <v/>
      </c>
      <c r="P901">
        <f>IF(M901=0, -1, L901/M901)</f>
        <v/>
      </c>
    </row>
    <row r="902">
      <c r="A902" t="inlineStr">
        <is>
          <t>RC01216</t>
        </is>
      </c>
      <c r="B902" t="inlineStr">
        <is>
          <t>昆明理工大学津桥学院</t>
        </is>
      </c>
      <c r="C902" t="n">
        <v>0</v>
      </c>
      <c r="D902" t="n">
        <v>0</v>
      </c>
      <c r="E902" t="n">
        <v>0</v>
      </c>
      <c r="F902" t="n">
        <v>1</v>
      </c>
      <c r="G902" t="n">
        <v>872.2080312683688</v>
      </c>
      <c r="H902" t="n">
        <v>4.430816798843313</v>
      </c>
      <c r="I902">
        <f>IF(H902=0, 0, G902/H902)</f>
        <v/>
      </c>
      <c r="J902">
        <f>RANK(I902, I$2:I$1111, 0)</f>
        <v/>
      </c>
      <c r="K902">
        <f>SUM(C902)</f>
        <v/>
      </c>
      <c r="L902">
        <f>SUM(K902,D902)</f>
        <v/>
      </c>
      <c r="M902">
        <f>SUM(L902,E902,F902)</f>
        <v/>
      </c>
      <c r="N902">
        <f>IF(L902=0, -1, K902/L902)</f>
        <v/>
      </c>
      <c r="O902">
        <f>IF(M902=0, -1, K902/M902)</f>
        <v/>
      </c>
      <c r="P902">
        <f>IF(M902=0, -1, L902/M902)</f>
        <v/>
      </c>
    </row>
    <row r="903">
      <c r="A903" t="inlineStr">
        <is>
          <t>RC00916</t>
        </is>
      </c>
      <c r="B903" t="inlineStr">
        <is>
          <t>湖南应用技术学院</t>
        </is>
      </c>
      <c r="C903" t="n">
        <v>0</v>
      </c>
      <c r="D903" t="n">
        <v>0</v>
      </c>
      <c r="E903" t="n">
        <v>0</v>
      </c>
      <c r="F903" t="n">
        <v>2</v>
      </c>
      <c r="G903" t="n">
        <v>2139.855432220937</v>
      </c>
      <c r="H903" t="n">
        <v>10.42975336079</v>
      </c>
      <c r="I903">
        <f>IF(H903=0, 0, G903/H903)</f>
        <v/>
      </c>
      <c r="J903">
        <f>RANK(I903, I$2:I$1111, 0)</f>
        <v/>
      </c>
      <c r="K903">
        <f>SUM(C903)</f>
        <v/>
      </c>
      <c r="L903">
        <f>SUM(K903,D903)</f>
        <v/>
      </c>
      <c r="M903">
        <f>SUM(L903,E903,F903)</f>
        <v/>
      </c>
      <c r="N903">
        <f>IF(L903=0, -1, K903/L903)</f>
        <v/>
      </c>
      <c r="O903">
        <f>IF(M903=0, -1, K903/M903)</f>
        <v/>
      </c>
      <c r="P903">
        <f>IF(M903=0, -1, L903/M903)</f>
        <v/>
      </c>
    </row>
    <row r="904">
      <c r="A904" t="inlineStr">
        <is>
          <t>RC01233</t>
        </is>
      </c>
      <c r="B904" t="inlineStr">
        <is>
          <t>兰州信息科技学院</t>
        </is>
      </c>
      <c r="C904" t="n">
        <v>0</v>
      </c>
      <c r="D904" t="n">
        <v>0</v>
      </c>
      <c r="E904" t="n">
        <v>0</v>
      </c>
      <c r="F904" t="n">
        <v>1</v>
      </c>
      <c r="G904" t="n">
        <v>854.7638706430015</v>
      </c>
      <c r="H904" t="n">
        <v>4.430816798843313</v>
      </c>
      <c r="I904">
        <f>IF(H904=0, 0, G904/H904)</f>
        <v/>
      </c>
      <c r="J904">
        <f>RANK(I904, I$2:I$1111, 0)</f>
        <v/>
      </c>
      <c r="K904">
        <f>SUM(C904)</f>
        <v/>
      </c>
      <c r="L904">
        <f>SUM(K904,D904)</f>
        <v/>
      </c>
      <c r="M904">
        <f>SUM(L904,E904,F904)</f>
        <v/>
      </c>
      <c r="N904">
        <f>IF(L904=0, -1, K904/L904)</f>
        <v/>
      </c>
      <c r="O904">
        <f>IF(M904=0, -1, K904/M904)</f>
        <v/>
      </c>
      <c r="P904">
        <f>IF(M904=0, -1, L904/M904)</f>
        <v/>
      </c>
    </row>
    <row r="905">
      <c r="A905" t="inlineStr">
        <is>
          <t>RC00280</t>
        </is>
      </c>
      <c r="B905" t="inlineStr">
        <is>
          <t>营口理工学院</t>
        </is>
      </c>
      <c r="C905" t="n">
        <v>0</v>
      </c>
      <c r="D905" t="n">
        <v>0</v>
      </c>
      <c r="E905" t="n">
        <v>0</v>
      </c>
      <c r="F905" t="n">
        <v>5</v>
      </c>
      <c r="G905" t="n">
        <v>5175.498326714565</v>
      </c>
      <c r="H905" t="n">
        <v>17.03130708666263</v>
      </c>
      <c r="I905">
        <f>IF(H905=0, 0, G905/H905)</f>
        <v/>
      </c>
      <c r="J905">
        <f>RANK(I905, I$2:I$1111, 0)</f>
        <v/>
      </c>
      <c r="K905">
        <f>SUM(C905)</f>
        <v/>
      </c>
      <c r="L905">
        <f>SUM(K905,D905)</f>
        <v/>
      </c>
      <c r="M905">
        <f>SUM(L905,E905,F905)</f>
        <v/>
      </c>
      <c r="N905">
        <f>IF(L905=0, -1, K905/L905)</f>
        <v/>
      </c>
      <c r="O905">
        <f>IF(M905=0, -1, K905/M905)</f>
        <v/>
      </c>
      <c r="P905">
        <f>IF(M905=0, -1, L905/M905)</f>
        <v/>
      </c>
    </row>
    <row r="906">
      <c r="A906" t="inlineStr">
        <is>
          <t>RC01228</t>
        </is>
      </c>
      <c r="B906" t="inlineStr">
        <is>
          <t>西安理工大学高科学院</t>
        </is>
      </c>
      <c r="C906" t="n">
        <v>0</v>
      </c>
      <c r="D906" t="n">
        <v>0</v>
      </c>
      <c r="E906" t="n">
        <v>0</v>
      </c>
      <c r="F906" t="n">
        <v>1</v>
      </c>
      <c r="G906" t="n">
        <v>474.6729326994582</v>
      </c>
      <c r="H906" t="n">
        <v>1.6094379124341</v>
      </c>
      <c r="I906">
        <f>IF(H906=0, 0, G906/H906)</f>
        <v/>
      </c>
      <c r="J906">
        <f>RANK(I906, I$2:I$1111, 0)</f>
        <v/>
      </c>
      <c r="K906">
        <f>SUM(C906)</f>
        <v/>
      </c>
      <c r="L906">
        <f>SUM(K906,D906)</f>
        <v/>
      </c>
      <c r="M906">
        <f>SUM(L906,E906,F906)</f>
        <v/>
      </c>
      <c r="N906">
        <f>IF(L906=0, -1, K906/L906)</f>
        <v/>
      </c>
      <c r="O906">
        <f>IF(M906=0, -1, K906/M906)</f>
        <v/>
      </c>
      <c r="P906">
        <f>IF(M906=0, -1, L906/M906)</f>
        <v/>
      </c>
    </row>
    <row r="907">
      <c r="A907" t="inlineStr">
        <is>
          <t>RC00901</t>
        </is>
      </c>
      <c r="B907" t="inlineStr">
        <is>
          <t>黄河交通学院</t>
        </is>
      </c>
      <c r="C907" t="n">
        <v>0</v>
      </c>
      <c r="D907" t="n">
        <v>0</v>
      </c>
      <c r="E907" t="n">
        <v>0</v>
      </c>
      <c r="F907" t="n">
        <v>2</v>
      </c>
      <c r="G907" t="n">
        <v>729.3857349739152</v>
      </c>
      <c r="H907" t="n">
        <v>3.555348061489414</v>
      </c>
      <c r="I907">
        <f>IF(H907=0, 0, G907/H907)</f>
        <v/>
      </c>
      <c r="J907">
        <f>RANK(I907, I$2:I$1111, 0)</f>
        <v/>
      </c>
      <c r="K907">
        <f>SUM(C907)</f>
        <v/>
      </c>
      <c r="L907">
        <f>SUM(K907,D907)</f>
        <v/>
      </c>
      <c r="M907">
        <f>SUM(L907,E907,F907)</f>
        <v/>
      </c>
      <c r="N907">
        <f>IF(L907=0, -1, K907/L907)</f>
        <v/>
      </c>
      <c r="O907">
        <f>IF(M907=0, -1, K907/M907)</f>
        <v/>
      </c>
      <c r="P907">
        <f>IF(M907=0, -1, L907/M907)</f>
        <v/>
      </c>
    </row>
    <row r="908">
      <c r="A908" t="inlineStr">
        <is>
          <t>RC00892</t>
        </is>
      </c>
      <c r="B908" t="inlineStr">
        <is>
          <t>青岛黄海学院</t>
        </is>
      </c>
      <c r="C908" t="n">
        <v>0</v>
      </c>
      <c r="D908" t="n">
        <v>0</v>
      </c>
      <c r="E908" t="n">
        <v>1</v>
      </c>
      <c r="F908" t="n">
        <v>11</v>
      </c>
      <c r="G908" t="n">
        <v>16763.8414155704</v>
      </c>
      <c r="H908" t="n">
        <v>56.15411642491562</v>
      </c>
      <c r="I908">
        <f>IF(H908=0, 0, G908/H908)</f>
        <v/>
      </c>
      <c r="J908">
        <f>RANK(I908, I$2:I$1111, 0)</f>
        <v/>
      </c>
      <c r="K908">
        <f>SUM(C908)</f>
        <v/>
      </c>
      <c r="L908">
        <f>SUM(K908,D908)</f>
        <v/>
      </c>
      <c r="M908">
        <f>SUM(L908,E908,F908)</f>
        <v/>
      </c>
      <c r="N908">
        <f>IF(L908=0, -1, K908/L908)</f>
        <v/>
      </c>
      <c r="O908">
        <f>IF(M908=0, -1, K908/M908)</f>
        <v/>
      </c>
      <c r="P908">
        <f>IF(M908=0, -1, L908/M908)</f>
        <v/>
      </c>
    </row>
    <row r="909">
      <c r="A909" t="inlineStr">
        <is>
          <t>RC01071</t>
        </is>
      </c>
      <c r="B909" t="inlineStr">
        <is>
          <t>芜湖学院</t>
        </is>
      </c>
      <c r="C909" t="n">
        <v>0</v>
      </c>
      <c r="D909" t="n">
        <v>0</v>
      </c>
      <c r="E909" t="n">
        <v>1</v>
      </c>
      <c r="F909" t="n">
        <v>4</v>
      </c>
      <c r="G909" t="n">
        <v>5734.942990364938</v>
      </c>
      <c r="H909" t="n">
        <v>19.90828723707222</v>
      </c>
      <c r="I909">
        <f>IF(H909=0, 0, G909/H909)</f>
        <v/>
      </c>
      <c r="J909">
        <f>RANK(I909, I$2:I$1111, 0)</f>
        <v/>
      </c>
      <c r="K909">
        <f>SUM(C909)</f>
        <v/>
      </c>
      <c r="L909">
        <f>SUM(K909,D909)</f>
        <v/>
      </c>
      <c r="M909">
        <f>SUM(L909,E909,F909)</f>
        <v/>
      </c>
      <c r="N909">
        <f>IF(L909=0, -1, K909/L909)</f>
        <v/>
      </c>
      <c r="O909">
        <f>IF(M909=0, -1, K909/M909)</f>
        <v/>
      </c>
      <c r="P909">
        <f>IF(M909=0, -1, L909/M909)</f>
        <v/>
      </c>
    </row>
    <row r="910">
      <c r="A910" t="inlineStr">
        <is>
          <t>RC01173</t>
        </is>
      </c>
      <c r="B910" t="inlineStr">
        <is>
          <t>广州城市理工学院</t>
        </is>
      </c>
      <c r="C910" t="n">
        <v>0</v>
      </c>
      <c r="D910" t="n">
        <v>0</v>
      </c>
      <c r="E910" t="n">
        <v>1</v>
      </c>
      <c r="F910" t="n">
        <v>1</v>
      </c>
      <c r="G910" t="n">
        <v>2682.367100496162</v>
      </c>
      <c r="H910" t="n">
        <v>8.960339366492091</v>
      </c>
      <c r="I910">
        <f>IF(H910=0, 0, G910/H910)</f>
        <v/>
      </c>
      <c r="J910">
        <f>RANK(I910, I$2:I$1111, 0)</f>
        <v/>
      </c>
      <c r="K910">
        <f>SUM(C910)</f>
        <v/>
      </c>
      <c r="L910">
        <f>SUM(K910,D910)</f>
        <v/>
      </c>
      <c r="M910">
        <f>SUM(L910,E910,F910)</f>
        <v/>
      </c>
      <c r="N910">
        <f>IF(L910=0, -1, K910/L910)</f>
        <v/>
      </c>
      <c r="O910">
        <f>IF(M910=0, -1, K910/M910)</f>
        <v/>
      </c>
      <c r="P910">
        <f>IF(M910=0, -1, L910/M910)</f>
        <v/>
      </c>
    </row>
    <row r="911">
      <c r="A911" t="inlineStr">
        <is>
          <t>RC01014</t>
        </is>
      </c>
      <c r="B911" t="inlineStr">
        <is>
          <t>长春工业大学人文信息学院</t>
        </is>
      </c>
      <c r="C911" t="n">
        <v>0</v>
      </c>
      <c r="D911" t="n">
        <v>0</v>
      </c>
      <c r="E911" t="n">
        <v>0</v>
      </c>
      <c r="F911" t="n">
        <v>1</v>
      </c>
      <c r="G911" t="n">
        <v>643.924044468965</v>
      </c>
      <c r="H911" t="n">
        <v>3.49650756146648</v>
      </c>
      <c r="I911">
        <f>IF(H911=0, 0, G911/H911)</f>
        <v/>
      </c>
      <c r="J911">
        <f>RANK(I911, I$2:I$1111, 0)</f>
        <v/>
      </c>
      <c r="K911">
        <f>SUM(C911)</f>
        <v/>
      </c>
      <c r="L911">
        <f>SUM(K911,D911)</f>
        <v/>
      </c>
      <c r="M911">
        <f>SUM(L911,E911,F911)</f>
        <v/>
      </c>
      <c r="N911">
        <f>IF(L911=0, -1, K911/L911)</f>
        <v/>
      </c>
      <c r="O911">
        <f>IF(M911=0, -1, K911/M911)</f>
        <v/>
      </c>
      <c r="P911">
        <f>IF(M911=0, -1, L911/M911)</f>
        <v/>
      </c>
    </row>
    <row r="912">
      <c r="A912" t="inlineStr">
        <is>
          <t>RC01128</t>
        </is>
      </c>
      <c r="B912" t="inlineStr">
        <is>
          <t>湖北工业大学工程技术学院</t>
        </is>
      </c>
      <c r="C912" t="n">
        <v>0</v>
      </c>
      <c r="D912" t="n">
        <v>0</v>
      </c>
      <c r="E912" t="n">
        <v>1</v>
      </c>
      <c r="F912" t="n">
        <v>5</v>
      </c>
      <c r="G912" t="n">
        <v>8950.445497384278</v>
      </c>
      <c r="H912" t="n">
        <v>31.82698716306705</v>
      </c>
      <c r="I912">
        <f>IF(H912=0, 0, G912/H912)</f>
        <v/>
      </c>
      <c r="J912">
        <f>RANK(I912, I$2:I$1111, 0)</f>
        <v/>
      </c>
      <c r="K912">
        <f>SUM(C912)</f>
        <v/>
      </c>
      <c r="L912">
        <f>SUM(K912,D912)</f>
        <v/>
      </c>
      <c r="M912">
        <f>SUM(L912,E912,F912)</f>
        <v/>
      </c>
      <c r="N912">
        <f>IF(L912=0, -1, K912/L912)</f>
        <v/>
      </c>
      <c r="O912">
        <f>IF(M912=0, -1, K912/M912)</f>
        <v/>
      </c>
      <c r="P912">
        <f>IF(M912=0, -1, L912/M912)</f>
        <v/>
      </c>
    </row>
    <row r="913">
      <c r="A913" t="inlineStr">
        <is>
          <t>RC01027</t>
        </is>
      </c>
      <c r="B913" t="inlineStr">
        <is>
          <t>南京航空航天大学金城学院</t>
        </is>
      </c>
      <c r="C913" t="n">
        <v>0</v>
      </c>
      <c r="D913" t="n">
        <v>0</v>
      </c>
      <c r="E913" t="n">
        <v>0</v>
      </c>
      <c r="F913" t="n">
        <v>3</v>
      </c>
      <c r="G913" t="n">
        <v>3296.706665168347</v>
      </c>
      <c r="H913" t="n">
        <v>11.9469780299303</v>
      </c>
      <c r="I913">
        <f>IF(H913=0, 0, G913/H913)</f>
        <v/>
      </c>
      <c r="J913">
        <f>RANK(I913, I$2:I$1111, 0)</f>
        <v/>
      </c>
      <c r="K913">
        <f>SUM(C913)</f>
        <v/>
      </c>
      <c r="L913">
        <f>SUM(K913,D913)</f>
        <v/>
      </c>
      <c r="M913">
        <f>SUM(L913,E913,F913)</f>
        <v/>
      </c>
      <c r="N913">
        <f>IF(L913=0, -1, K913/L913)</f>
        <v/>
      </c>
      <c r="O913">
        <f>IF(M913=0, -1, K913/M913)</f>
        <v/>
      </c>
      <c r="P913">
        <f>IF(M913=0, -1, L913/M913)</f>
        <v/>
      </c>
    </row>
    <row r="914">
      <c r="A914" t="inlineStr">
        <is>
          <t>RC00882</t>
        </is>
      </c>
      <c r="B914" t="inlineStr">
        <is>
          <t>南昌理工学院</t>
        </is>
      </c>
      <c r="C914" t="n">
        <v>0</v>
      </c>
      <c r="D914" t="n">
        <v>0</v>
      </c>
      <c r="E914" t="n">
        <v>0</v>
      </c>
      <c r="F914" t="n">
        <v>3</v>
      </c>
      <c r="G914" t="n">
        <v>4797.801273171473</v>
      </c>
      <c r="H914" t="n">
        <v>12.77365660311477</v>
      </c>
      <c r="I914">
        <f>IF(H914=0, 0, G914/H914)</f>
        <v/>
      </c>
      <c r="J914">
        <f>RANK(I914, I$2:I$1111, 0)</f>
        <v/>
      </c>
      <c r="K914">
        <f>SUM(C914)</f>
        <v/>
      </c>
      <c r="L914">
        <f>SUM(K914,D914)</f>
        <v/>
      </c>
      <c r="M914">
        <f>SUM(L914,E914,F914)</f>
        <v/>
      </c>
      <c r="N914">
        <f>IF(L914=0, -1, K914/L914)</f>
        <v/>
      </c>
      <c r="O914">
        <f>IF(M914=0, -1, K914/M914)</f>
        <v/>
      </c>
      <c r="P914">
        <f>IF(M914=0, -1, L914/M914)</f>
        <v/>
      </c>
    </row>
    <row r="915">
      <c r="A915" t="inlineStr">
        <is>
          <t>RC00938</t>
        </is>
      </c>
      <c r="B915" t="inlineStr">
        <is>
          <t>四川工业科技学院</t>
        </is>
      </c>
      <c r="C915" t="n">
        <v>0</v>
      </c>
      <c r="D915" t="n">
        <v>0</v>
      </c>
      <c r="E915" t="n">
        <v>0</v>
      </c>
      <c r="F915" t="n">
        <v>3</v>
      </c>
      <c r="G915" t="n">
        <v>4251.89855998547</v>
      </c>
      <c r="H915" t="n">
        <v>14.19072262290142</v>
      </c>
      <c r="I915">
        <f>IF(H915=0, 0, G915/H915)</f>
        <v/>
      </c>
      <c r="J915">
        <f>RANK(I915, I$2:I$1111, 0)</f>
        <v/>
      </c>
      <c r="K915">
        <f>SUM(C915)</f>
        <v/>
      </c>
      <c r="L915">
        <f>SUM(K915,D915)</f>
        <v/>
      </c>
      <c r="M915">
        <f>SUM(L915,E915,F915)</f>
        <v/>
      </c>
      <c r="N915">
        <f>IF(L915=0, -1, K915/L915)</f>
        <v/>
      </c>
      <c r="O915">
        <f>IF(M915=0, -1, K915/M915)</f>
        <v/>
      </c>
      <c r="P915">
        <f>IF(M915=0, -1, L915/M915)</f>
        <v/>
      </c>
    </row>
    <row r="916">
      <c r="A916" t="inlineStr">
        <is>
          <t>RC01140</t>
        </is>
      </c>
      <c r="B916" t="inlineStr">
        <is>
          <t>湖北文理学院理工学院</t>
        </is>
      </c>
      <c r="C916" t="n">
        <v>0</v>
      </c>
      <c r="D916" t="n">
        <v>0</v>
      </c>
      <c r="E916" t="n">
        <v>0</v>
      </c>
      <c r="F916" t="n">
        <v>1</v>
      </c>
      <c r="G916" t="n">
        <v>419.2175293915629</v>
      </c>
      <c r="H916" t="n">
        <v>2.564949357461537</v>
      </c>
      <c r="I916">
        <f>IF(H916=0, 0, G916/H916)</f>
        <v/>
      </c>
      <c r="J916">
        <f>RANK(I916, I$2:I$1111, 0)</f>
        <v/>
      </c>
      <c r="K916">
        <f>SUM(C916)</f>
        <v/>
      </c>
      <c r="L916">
        <f>SUM(K916,D916)</f>
        <v/>
      </c>
      <c r="M916">
        <f>SUM(L916,E916,F916)</f>
        <v/>
      </c>
      <c r="N916">
        <f>IF(L916=0, -1, K916/L916)</f>
        <v/>
      </c>
      <c r="O916">
        <f>IF(M916=0, -1, K916/M916)</f>
        <v/>
      </c>
      <c r="P916">
        <f>IF(M916=0, -1, L916/M916)</f>
        <v/>
      </c>
    </row>
    <row r="917">
      <c r="A917" t="inlineStr">
        <is>
          <t>RC00949</t>
        </is>
      </c>
      <c r="B917" t="inlineStr">
        <is>
          <t>陕西国际商贸学院</t>
        </is>
      </c>
      <c r="C917" t="n">
        <v>0</v>
      </c>
      <c r="D917" t="n">
        <v>0</v>
      </c>
      <c r="E917" t="n">
        <v>0</v>
      </c>
      <c r="F917" t="n">
        <v>1</v>
      </c>
      <c r="G917" t="n">
        <v>779.491796518085</v>
      </c>
      <c r="H917" t="n">
        <v>2.564949357461537</v>
      </c>
      <c r="I917">
        <f>IF(H917=0, 0, G917/H917)</f>
        <v/>
      </c>
      <c r="J917">
        <f>RANK(I917, I$2:I$1111, 0)</f>
        <v/>
      </c>
      <c r="K917">
        <f>SUM(C917)</f>
        <v/>
      </c>
      <c r="L917">
        <f>SUM(K917,D917)</f>
        <v/>
      </c>
      <c r="M917">
        <f>SUM(L917,E917,F917)</f>
        <v/>
      </c>
      <c r="N917">
        <f>IF(L917=0, -1, K917/L917)</f>
        <v/>
      </c>
      <c r="O917">
        <f>IF(M917=0, -1, K917/M917)</f>
        <v/>
      </c>
      <c r="P917">
        <f>IF(M917=0, -1, L917/M917)</f>
        <v/>
      </c>
    </row>
    <row r="918">
      <c r="A918" t="inlineStr">
        <is>
          <t>RC01096</t>
        </is>
      </c>
      <c r="B918" t="inlineStr">
        <is>
          <t>南昌航空大学科技学院</t>
        </is>
      </c>
      <c r="C918" t="n">
        <v>0</v>
      </c>
      <c r="D918" t="n">
        <v>0</v>
      </c>
      <c r="E918" t="n">
        <v>0</v>
      </c>
      <c r="F918" t="n">
        <v>2</v>
      </c>
      <c r="G918" t="n">
        <v>589.7492623145616</v>
      </c>
      <c r="H918" t="n">
        <v>4.787491742782047</v>
      </c>
      <c r="I918">
        <f>IF(H918=0, 0, G918/H918)</f>
        <v/>
      </c>
      <c r="J918">
        <f>RANK(I918, I$2:I$1111, 0)</f>
        <v/>
      </c>
      <c r="K918">
        <f>SUM(C918)</f>
        <v/>
      </c>
      <c r="L918">
        <f>SUM(K918,D918)</f>
        <v/>
      </c>
      <c r="M918">
        <f>SUM(L918,E918,F918)</f>
        <v/>
      </c>
      <c r="N918">
        <f>IF(L918=0, -1, K918/L918)</f>
        <v/>
      </c>
      <c r="O918">
        <f>IF(M918=0, -1, K918/M918)</f>
        <v/>
      </c>
      <c r="P918">
        <f>IF(M918=0, -1, L918/M918)</f>
        <v/>
      </c>
    </row>
    <row r="919">
      <c r="A919" t="inlineStr">
        <is>
          <t>RC01198</t>
        </is>
      </c>
      <c r="B919" t="inlineStr">
        <is>
          <t>绵阳城市学院</t>
        </is>
      </c>
      <c r="C919" t="n">
        <v>0</v>
      </c>
      <c r="D919" t="n">
        <v>0</v>
      </c>
      <c r="E919" t="n">
        <v>0</v>
      </c>
      <c r="F919" t="n">
        <v>3</v>
      </c>
      <c r="G919" t="n">
        <v>2469.19797363339</v>
      </c>
      <c r="H919" t="n">
        <v>8.738254576526124</v>
      </c>
      <c r="I919">
        <f>IF(H919=0, 0, G919/H919)</f>
        <v/>
      </c>
      <c r="J919">
        <f>RANK(I919, I$2:I$1111, 0)</f>
        <v/>
      </c>
      <c r="K919">
        <f>SUM(C919)</f>
        <v/>
      </c>
      <c r="L919">
        <f>SUM(K919,D919)</f>
        <v/>
      </c>
      <c r="M919">
        <f>SUM(L919,E919,F919)</f>
        <v/>
      </c>
      <c r="N919">
        <f>IF(L919=0, -1, K919/L919)</f>
        <v/>
      </c>
      <c r="O919">
        <f>IF(M919=0, -1, K919/M919)</f>
        <v/>
      </c>
      <c r="P919">
        <f>IF(M919=0, -1, L919/M919)</f>
        <v/>
      </c>
    </row>
    <row r="920">
      <c r="A920" t="inlineStr">
        <is>
          <t>RC00810</t>
        </is>
      </c>
      <c r="B920" t="inlineStr">
        <is>
          <t>西藏农牧学院</t>
        </is>
      </c>
      <c r="C920" t="n">
        <v>0</v>
      </c>
      <c r="D920" t="n">
        <v>0</v>
      </c>
      <c r="E920" t="n">
        <v>0</v>
      </c>
      <c r="F920" t="n">
        <v>3</v>
      </c>
      <c r="G920" t="n">
        <v>4405.155642561182</v>
      </c>
      <c r="H920" t="n">
        <v>15.65457098781029</v>
      </c>
      <c r="I920">
        <f>IF(H920=0, 0, G920/H920)</f>
        <v/>
      </c>
      <c r="J920">
        <f>RANK(I920, I$2:I$1111, 0)</f>
        <v/>
      </c>
      <c r="K920">
        <f>SUM(C920)</f>
        <v/>
      </c>
      <c r="L920">
        <f>SUM(K920,D920)</f>
        <v/>
      </c>
      <c r="M920">
        <f>SUM(L920,E920,F920)</f>
        <v/>
      </c>
      <c r="N920">
        <f>IF(L920=0, -1, K920/L920)</f>
        <v/>
      </c>
      <c r="O920">
        <f>IF(M920=0, -1, K920/M920)</f>
        <v/>
      </c>
      <c r="P920">
        <f>IF(M920=0, -1, L920/M920)</f>
        <v/>
      </c>
    </row>
    <row r="921">
      <c r="A921" t="inlineStr">
        <is>
          <t>RC00530</t>
        </is>
      </c>
      <c r="B921" t="inlineStr">
        <is>
          <t>河南工程学院</t>
        </is>
      </c>
      <c r="C921" t="n">
        <v>0</v>
      </c>
      <c r="D921" t="n">
        <v>0</v>
      </c>
      <c r="E921" t="n">
        <v>1</v>
      </c>
      <c r="F921" t="n">
        <v>13</v>
      </c>
      <c r="G921" t="n">
        <v>23883.97445981428</v>
      </c>
      <c r="H921" t="n">
        <v>77.42913866917127</v>
      </c>
      <c r="I921">
        <f>IF(H921=0, 0, G921/H921)</f>
        <v/>
      </c>
      <c r="J921">
        <f>RANK(I921, I$2:I$1111, 0)</f>
        <v/>
      </c>
      <c r="K921">
        <f>SUM(C921)</f>
        <v/>
      </c>
      <c r="L921">
        <f>SUM(K921,D921)</f>
        <v/>
      </c>
      <c r="M921">
        <f>SUM(L921,E921,F921)</f>
        <v/>
      </c>
      <c r="N921">
        <f>IF(L921=0, -1, K921/L921)</f>
        <v/>
      </c>
      <c r="O921">
        <f>IF(M921=0, -1, K921/M921)</f>
        <v/>
      </c>
      <c r="P921">
        <f>IF(M921=0, -1, L921/M921)</f>
        <v/>
      </c>
    </row>
    <row r="922">
      <c r="A922" t="inlineStr">
        <is>
          <t>RC00790</t>
        </is>
      </c>
      <c r="B922" t="inlineStr">
        <is>
          <t>北京电子科技学院</t>
        </is>
      </c>
      <c r="C922" t="n">
        <v>0</v>
      </c>
      <c r="D922" t="n">
        <v>0</v>
      </c>
      <c r="E922" t="n">
        <v>6</v>
      </c>
      <c r="F922" t="n">
        <v>1</v>
      </c>
      <c r="G922" t="n">
        <v>18454.38868975725</v>
      </c>
      <c r="H922" t="n">
        <v>33.35870843665666</v>
      </c>
      <c r="I922">
        <f>IF(H922=0, 0, G922/H922)</f>
        <v/>
      </c>
      <c r="J922">
        <f>RANK(I922, I$2:I$1111, 0)</f>
        <v/>
      </c>
      <c r="K922">
        <f>SUM(C922)</f>
        <v/>
      </c>
      <c r="L922">
        <f>SUM(K922,D922)</f>
        <v/>
      </c>
      <c r="M922">
        <f>SUM(L922,E922,F922)</f>
        <v/>
      </c>
      <c r="N922">
        <f>IF(L922=0, -1, K922/L922)</f>
        <v/>
      </c>
      <c r="O922">
        <f>IF(M922=0, -1, K922/M922)</f>
        <v/>
      </c>
      <c r="P922">
        <f>IF(M922=0, -1, L922/M922)</f>
        <v/>
      </c>
    </row>
    <row r="923">
      <c r="A923" t="inlineStr">
        <is>
          <t>RC00422</t>
        </is>
      </c>
      <c r="B923" t="inlineStr">
        <is>
          <t>蚌埠学院</t>
        </is>
      </c>
      <c r="C923" t="n">
        <v>0</v>
      </c>
      <c r="D923" t="n">
        <v>0</v>
      </c>
      <c r="E923" t="n">
        <v>0</v>
      </c>
      <c r="F923" t="n">
        <v>8</v>
      </c>
      <c r="G923" t="n">
        <v>12405.83501677553</v>
      </c>
      <c r="H923" t="n">
        <v>44.48668725468022</v>
      </c>
      <c r="I923">
        <f>IF(H923=0, 0, G923/H923)</f>
        <v/>
      </c>
      <c r="J923">
        <f>RANK(I923, I$2:I$1111, 0)</f>
        <v/>
      </c>
      <c r="K923">
        <f>SUM(C923)</f>
        <v/>
      </c>
      <c r="L923">
        <f>SUM(K923,D923)</f>
        <v/>
      </c>
      <c r="M923">
        <f>SUM(L923,E923,F923)</f>
        <v/>
      </c>
      <c r="N923">
        <f>IF(L923=0, -1, K923/L923)</f>
        <v/>
      </c>
      <c r="O923">
        <f>IF(M923=0, -1, K923/M923)</f>
        <v/>
      </c>
      <c r="P923">
        <f>IF(M923=0, -1, L923/M923)</f>
        <v/>
      </c>
    </row>
    <row r="924">
      <c r="A924" t="inlineStr">
        <is>
          <t>RC00288</t>
        </is>
      </c>
      <c r="B924" t="inlineStr">
        <is>
          <t>长春中医药大学</t>
        </is>
      </c>
      <c r="C924" t="n">
        <v>0</v>
      </c>
      <c r="D924" t="n">
        <v>0</v>
      </c>
      <c r="E924" t="n">
        <v>8</v>
      </c>
      <c r="F924" t="n">
        <v>12</v>
      </c>
      <c r="G924" t="n">
        <v>37360.63292930365</v>
      </c>
      <c r="H924" t="n">
        <v>74.92939536264302</v>
      </c>
      <c r="I924">
        <f>IF(H924=0, 0, G924/H924)</f>
        <v/>
      </c>
      <c r="J924">
        <f>RANK(I924, I$2:I$1111, 0)</f>
        <v/>
      </c>
      <c r="K924">
        <f>SUM(C924)</f>
        <v/>
      </c>
      <c r="L924">
        <f>SUM(K924,D924)</f>
        <v/>
      </c>
      <c r="M924">
        <f>SUM(L924,E924,F924)</f>
        <v/>
      </c>
      <c r="N924">
        <f>IF(L924=0, -1, K924/L924)</f>
        <v/>
      </c>
      <c r="O924">
        <f>IF(M924=0, -1, K924/M924)</f>
        <v/>
      </c>
      <c r="P924">
        <f>IF(M924=0, -1, L924/M924)</f>
        <v/>
      </c>
    </row>
    <row r="925">
      <c r="A925" t="inlineStr">
        <is>
          <t>RC00775</t>
        </is>
      </c>
      <c r="B925" t="inlineStr">
        <is>
          <t>宁夏医科大学</t>
        </is>
      </c>
      <c r="C925" t="n">
        <v>0</v>
      </c>
      <c r="D925" t="n">
        <v>0</v>
      </c>
      <c r="E925" t="n">
        <v>9</v>
      </c>
      <c r="F925" t="n">
        <v>8</v>
      </c>
      <c r="G925" t="n">
        <v>35606.5799278698</v>
      </c>
      <c r="H925" t="n">
        <v>69.15239584971451</v>
      </c>
      <c r="I925">
        <f>IF(H925=0, 0, G925/H925)</f>
        <v/>
      </c>
      <c r="J925">
        <f>RANK(I925, I$2:I$1111, 0)</f>
        <v/>
      </c>
      <c r="K925">
        <f>SUM(C925)</f>
        <v/>
      </c>
      <c r="L925">
        <f>SUM(K925,D925)</f>
        <v/>
      </c>
      <c r="M925">
        <f>SUM(L925,E925,F925)</f>
        <v/>
      </c>
      <c r="N925">
        <f>IF(L925=0, -1, K925/L925)</f>
        <v/>
      </c>
      <c r="O925">
        <f>IF(M925=0, -1, K925/M925)</f>
        <v/>
      </c>
      <c r="P925">
        <f>IF(M925=0, -1, L925/M925)</f>
        <v/>
      </c>
    </row>
    <row r="926">
      <c r="A926" t="inlineStr">
        <is>
          <t>RC00709</t>
        </is>
      </c>
      <c r="B926" t="inlineStr">
        <is>
          <t>云南中医药大学</t>
        </is>
      </c>
      <c r="C926" t="n">
        <v>0</v>
      </c>
      <c r="D926" t="n">
        <v>0</v>
      </c>
      <c r="E926" t="n">
        <v>5</v>
      </c>
      <c r="F926" t="n">
        <v>10</v>
      </c>
      <c r="G926" t="n">
        <v>27593.10922912928</v>
      </c>
      <c r="H926" t="n">
        <v>61.92514070731005</v>
      </c>
      <c r="I926">
        <f>IF(H926=0, 0, G926/H926)</f>
        <v/>
      </c>
      <c r="J926">
        <f>RANK(I926, I$2:I$1111, 0)</f>
        <v/>
      </c>
      <c r="K926">
        <f>SUM(C926)</f>
        <v/>
      </c>
      <c r="L926">
        <f>SUM(K926,D926)</f>
        <v/>
      </c>
      <c r="M926">
        <f>SUM(L926,E926,F926)</f>
        <v/>
      </c>
      <c r="N926">
        <f>IF(L926=0, -1, K926/L926)</f>
        <v/>
      </c>
      <c r="O926">
        <f>IF(M926=0, -1, K926/M926)</f>
        <v/>
      </c>
      <c r="P926">
        <f>IF(M926=0, -1, L926/M926)</f>
        <v/>
      </c>
    </row>
    <row r="927">
      <c r="A927" t="inlineStr">
        <is>
          <t>RC00759</t>
        </is>
      </c>
      <c r="B927" t="inlineStr">
        <is>
          <t>甘肃中医药大学</t>
        </is>
      </c>
      <c r="C927" t="n">
        <v>0</v>
      </c>
      <c r="D927" t="n">
        <v>0</v>
      </c>
      <c r="E927" t="n">
        <v>2</v>
      </c>
      <c r="F927" t="n">
        <v>9</v>
      </c>
      <c r="G927" t="n">
        <v>18680.85199294202</v>
      </c>
      <c r="H927" t="n">
        <v>41.61712568853391</v>
      </c>
      <c r="I927">
        <f>IF(H927=0, 0, G927/H927)</f>
        <v/>
      </c>
      <c r="J927">
        <f>RANK(I927, I$2:I$1111, 0)</f>
        <v/>
      </c>
      <c r="K927">
        <f>SUM(C927)</f>
        <v/>
      </c>
      <c r="L927">
        <f>SUM(K927,D927)</f>
        <v/>
      </c>
      <c r="M927">
        <f>SUM(L927,E927,F927)</f>
        <v/>
      </c>
      <c r="N927">
        <f>IF(L927=0, -1, K927/L927)</f>
        <v/>
      </c>
      <c r="O927">
        <f>IF(M927=0, -1, K927/M927)</f>
        <v/>
      </c>
      <c r="P927">
        <f>IF(M927=0, -1, L927/M927)</f>
        <v/>
      </c>
    </row>
    <row r="928">
      <c r="A928" t="inlineStr">
        <is>
          <t>RC01099</t>
        </is>
      </c>
      <c r="B928" t="inlineStr">
        <is>
          <t>赣南师范大学科技学院</t>
        </is>
      </c>
      <c r="C928" t="n">
        <v>0</v>
      </c>
      <c r="D928" t="n">
        <v>0</v>
      </c>
      <c r="E928" t="n">
        <v>0</v>
      </c>
      <c r="F928" t="n">
        <v>1</v>
      </c>
      <c r="G928" t="n">
        <v>402.5498414325255</v>
      </c>
      <c r="H928" t="n">
        <v>2.302585092994046</v>
      </c>
      <c r="I928">
        <f>IF(H928=0, 0, G928/H928)</f>
        <v/>
      </c>
      <c r="J928">
        <f>RANK(I928, I$2:I$1111, 0)</f>
        <v/>
      </c>
      <c r="K928">
        <f>SUM(C928)</f>
        <v/>
      </c>
      <c r="L928">
        <f>SUM(K928,D928)</f>
        <v/>
      </c>
      <c r="M928">
        <f>SUM(L928,E928,F928)</f>
        <v/>
      </c>
      <c r="N928">
        <f>IF(L928=0, -1, K928/L928)</f>
        <v/>
      </c>
      <c r="O928">
        <f>IF(M928=0, -1, K928/M928)</f>
        <v/>
      </c>
      <c r="P928">
        <f>IF(M928=0, -1, L928/M928)</f>
        <v/>
      </c>
    </row>
    <row r="929">
      <c r="A929" t="inlineStr">
        <is>
          <t>RC00985</t>
        </is>
      </c>
      <c r="B929" t="inlineStr">
        <is>
          <t>石家庄铁道大学四方学院</t>
        </is>
      </c>
      <c r="C929" t="n">
        <v>0</v>
      </c>
      <c r="D929" t="n">
        <v>0</v>
      </c>
      <c r="E929" t="n">
        <v>0</v>
      </c>
      <c r="F929" t="n">
        <v>2</v>
      </c>
      <c r="G929" t="n">
        <v>2481.214378142711</v>
      </c>
      <c r="H929" t="n">
        <v>8.486940148245216</v>
      </c>
      <c r="I929">
        <f>IF(H929=0, 0, G929/H929)</f>
        <v/>
      </c>
      <c r="J929">
        <f>RANK(I929, I$2:I$1111, 0)</f>
        <v/>
      </c>
      <c r="K929">
        <f>SUM(C929)</f>
        <v/>
      </c>
      <c r="L929">
        <f>SUM(K929,D929)</f>
        <v/>
      </c>
      <c r="M929">
        <f>SUM(L929,E929,F929)</f>
        <v/>
      </c>
      <c r="N929">
        <f>IF(L929=0, -1, K929/L929)</f>
        <v/>
      </c>
      <c r="O929">
        <f>IF(M929=0, -1, K929/M929)</f>
        <v/>
      </c>
      <c r="P929">
        <f>IF(M929=0, -1, L929/M929)</f>
        <v/>
      </c>
    </row>
    <row r="930">
      <c r="A930" t="inlineStr">
        <is>
          <t>RC00951</t>
        </is>
      </c>
      <c r="B930" t="inlineStr">
        <is>
          <t>西安交通工程学院</t>
        </is>
      </c>
      <c r="C930" t="n">
        <v>1</v>
      </c>
      <c r="D930" t="n">
        <v>0</v>
      </c>
      <c r="E930" t="n">
        <v>0</v>
      </c>
      <c r="F930" t="n">
        <v>2</v>
      </c>
      <c r="G930" t="n">
        <v>2570.972050161825</v>
      </c>
      <c r="H930" t="n">
        <v>8.843615092183949</v>
      </c>
      <c r="I930">
        <f>IF(H930=0, 0, G930/H930)</f>
        <v/>
      </c>
      <c r="J930">
        <f>RANK(I930, I$2:I$1111, 0)</f>
        <v/>
      </c>
      <c r="K930">
        <f>SUM(C930)</f>
        <v/>
      </c>
      <c r="L930">
        <f>SUM(K930,D930)</f>
        <v/>
      </c>
      <c r="M930">
        <f>SUM(L930,E930,F930)</f>
        <v/>
      </c>
      <c r="N930">
        <f>IF(L930=0, -1, K930/L930)</f>
        <v/>
      </c>
      <c r="O930">
        <f>IF(M930=0, -1, K930/M930)</f>
        <v/>
      </c>
      <c r="P930">
        <f>IF(M930=0, -1, L930/M930)</f>
        <v/>
      </c>
    </row>
    <row r="931">
      <c r="A931" t="inlineStr">
        <is>
          <t>RC00220</t>
        </is>
      </c>
      <c r="B931" t="inlineStr">
        <is>
          <t>晋中学院</t>
        </is>
      </c>
      <c r="C931" t="n">
        <v>0</v>
      </c>
      <c r="D931" t="n">
        <v>0</v>
      </c>
      <c r="E931" t="n">
        <v>1</v>
      </c>
      <c r="F931" t="n">
        <v>12</v>
      </c>
      <c r="G931" t="n">
        <v>19943.00692076103</v>
      </c>
      <c r="H931" t="n">
        <v>65.9833767742364</v>
      </c>
      <c r="I931">
        <f>IF(H931=0, 0, G931/H931)</f>
        <v/>
      </c>
      <c r="J931">
        <f>RANK(I931, I$2:I$1111, 0)</f>
        <v/>
      </c>
      <c r="K931">
        <f>SUM(C931)</f>
        <v/>
      </c>
      <c r="L931">
        <f>SUM(K931,D931)</f>
        <v/>
      </c>
      <c r="M931">
        <f>SUM(L931,E931,F931)</f>
        <v/>
      </c>
      <c r="N931">
        <f>IF(L931=0, -1, K931/L931)</f>
        <v/>
      </c>
      <c r="O931">
        <f>IF(M931=0, -1, K931/M931)</f>
        <v/>
      </c>
      <c r="P931">
        <f>IF(M931=0, -1, L931/M931)</f>
        <v/>
      </c>
    </row>
    <row r="932">
      <c r="A932" t="inlineStr">
        <is>
          <t>RC00830</t>
        </is>
      </c>
      <c r="B932" t="inlineStr">
        <is>
          <t>大连科技学院</t>
        </is>
      </c>
      <c r="C932" t="n">
        <v>0</v>
      </c>
      <c r="D932" t="n">
        <v>0</v>
      </c>
      <c r="E932" t="n">
        <v>1</v>
      </c>
      <c r="F932" t="n">
        <v>1</v>
      </c>
      <c r="G932" t="n">
        <v>2828.032632895808</v>
      </c>
      <c r="H932" t="n">
        <v>8.960339366492091</v>
      </c>
      <c r="I932">
        <f>IF(H932=0, 0, G932/H932)</f>
        <v/>
      </c>
      <c r="J932">
        <f>RANK(I932, I$2:I$1111, 0)</f>
        <v/>
      </c>
      <c r="K932">
        <f>SUM(C932)</f>
        <v/>
      </c>
      <c r="L932">
        <f>SUM(K932,D932)</f>
        <v/>
      </c>
      <c r="M932">
        <f>SUM(L932,E932,F932)</f>
        <v/>
      </c>
      <c r="N932">
        <f>IF(L932=0, -1, K932/L932)</f>
        <v/>
      </c>
      <c r="O932">
        <f>IF(M932=0, -1, K932/M932)</f>
        <v/>
      </c>
      <c r="P932">
        <f>IF(M932=0, -1, L932/M932)</f>
        <v/>
      </c>
    </row>
    <row r="933">
      <c r="A933" t="inlineStr">
        <is>
          <t>RC00787</t>
        </is>
      </c>
      <c r="B933" t="inlineStr">
        <is>
          <t>新疆工程学院</t>
        </is>
      </c>
      <c r="C933" t="n">
        <v>1</v>
      </c>
      <c r="D933" t="n">
        <v>0</v>
      </c>
      <c r="E933" t="n">
        <v>0</v>
      </c>
      <c r="F933" t="n">
        <v>3</v>
      </c>
      <c r="G933" t="n">
        <v>3394.717859362263</v>
      </c>
      <c r="H933" t="n">
        <v>12.16298245559847</v>
      </c>
      <c r="I933">
        <f>IF(H933=0, 0, G933/H933)</f>
        <v/>
      </c>
      <c r="J933">
        <f>RANK(I933, I$2:I$1111, 0)</f>
        <v/>
      </c>
      <c r="K933">
        <f>SUM(C933)</f>
        <v/>
      </c>
      <c r="L933">
        <f>SUM(K933,D933)</f>
        <v/>
      </c>
      <c r="M933">
        <f>SUM(L933,E933,F933)</f>
        <v/>
      </c>
      <c r="N933">
        <f>IF(L933=0, -1, K933/L933)</f>
        <v/>
      </c>
      <c r="O933">
        <f>IF(M933=0, -1, K933/M933)</f>
        <v/>
      </c>
      <c r="P933">
        <f>IF(M933=0, -1, L933/M933)</f>
        <v/>
      </c>
    </row>
    <row r="934">
      <c r="A934" t="inlineStr">
        <is>
          <t>RC00883</t>
        </is>
      </c>
      <c r="B934" t="inlineStr">
        <is>
          <t>江西应用科技学院</t>
        </is>
      </c>
      <c r="C934" t="n">
        <v>0</v>
      </c>
      <c r="D934" t="n">
        <v>0</v>
      </c>
      <c r="E934" t="n">
        <v>0</v>
      </c>
      <c r="F934" t="n">
        <v>1</v>
      </c>
      <c r="G934" t="n">
        <v>1398.773702658111</v>
      </c>
      <c r="H934" t="n">
        <v>5.288267030694535</v>
      </c>
      <c r="I934">
        <f>IF(H934=0, 0, G934/H934)</f>
        <v/>
      </c>
      <c r="J934">
        <f>RANK(I934, I$2:I$1111, 0)</f>
        <v/>
      </c>
      <c r="K934">
        <f>SUM(C934)</f>
        <v/>
      </c>
      <c r="L934">
        <f>SUM(K934,D934)</f>
        <v/>
      </c>
      <c r="M934">
        <f>SUM(L934,E934,F934)</f>
        <v/>
      </c>
      <c r="N934">
        <f>IF(L934=0, -1, K934/L934)</f>
        <v/>
      </c>
      <c r="O934">
        <f>IF(M934=0, -1, K934/M934)</f>
        <v/>
      </c>
      <c r="P934">
        <f>IF(M934=0, -1, L934/M934)</f>
        <v/>
      </c>
    </row>
    <row r="935">
      <c r="A935" t="inlineStr">
        <is>
          <t>RC00867</t>
        </is>
      </c>
      <c r="B935" t="inlineStr">
        <is>
          <t>浙江树人学院</t>
        </is>
      </c>
      <c r="C935" t="n">
        <v>0</v>
      </c>
      <c r="D935" t="n">
        <v>0</v>
      </c>
      <c r="E935" t="n">
        <v>0</v>
      </c>
      <c r="F935" t="n">
        <v>9</v>
      </c>
      <c r="G935" t="n">
        <v>12540.86588289199</v>
      </c>
      <c r="H935" t="n">
        <v>49.26203441920008</v>
      </c>
      <c r="I935">
        <f>IF(H935=0, 0, G935/H935)</f>
        <v/>
      </c>
      <c r="J935">
        <f>RANK(I935, I$2:I$1111, 0)</f>
        <v/>
      </c>
      <c r="K935">
        <f>SUM(C935)</f>
        <v/>
      </c>
      <c r="L935">
        <f>SUM(K935,D935)</f>
        <v/>
      </c>
      <c r="M935">
        <f>SUM(L935,E935,F935)</f>
        <v/>
      </c>
      <c r="N935">
        <f>IF(L935=0, -1, K935/L935)</f>
        <v/>
      </c>
      <c r="O935">
        <f>IF(M935=0, -1, K935/M935)</f>
        <v/>
      </c>
      <c r="P935">
        <f>IF(M935=0, -1, L935/M935)</f>
        <v/>
      </c>
    </row>
    <row r="936">
      <c r="A936" t="inlineStr">
        <is>
          <t>RC00837</t>
        </is>
      </c>
      <c r="B936" t="inlineStr">
        <is>
          <t>大连东软信息学院</t>
        </is>
      </c>
      <c r="C936" t="n">
        <v>0</v>
      </c>
      <c r="D936" t="n">
        <v>0</v>
      </c>
      <c r="E936" t="n">
        <v>2</v>
      </c>
      <c r="F936" t="n">
        <v>5</v>
      </c>
      <c r="G936" t="n">
        <v>11096.29836121869</v>
      </c>
      <c r="H936" t="n">
        <v>33.56963600403639</v>
      </c>
      <c r="I936">
        <f>IF(H936=0, 0, G936/H936)</f>
        <v/>
      </c>
      <c r="J936">
        <f>RANK(I936, I$2:I$1111, 0)</f>
        <v/>
      </c>
      <c r="K936">
        <f>SUM(C936)</f>
        <v/>
      </c>
      <c r="L936">
        <f>SUM(K936,D936)</f>
        <v/>
      </c>
      <c r="M936">
        <f>SUM(L936,E936,F936)</f>
        <v/>
      </c>
      <c r="N936">
        <f>IF(L936=0, -1, K936/L936)</f>
        <v/>
      </c>
      <c r="O936">
        <f>IF(M936=0, -1, K936/M936)</f>
        <v/>
      </c>
      <c r="P936">
        <f>IF(M936=0, -1, L936/M936)</f>
        <v/>
      </c>
    </row>
    <row r="937">
      <c r="A937" t="inlineStr">
        <is>
          <t>RC00748</t>
        </is>
      </c>
      <c r="B937" t="inlineStr">
        <is>
          <t>商洛学院</t>
        </is>
      </c>
      <c r="C937" t="n">
        <v>0</v>
      </c>
      <c r="D937" t="n">
        <v>0</v>
      </c>
      <c r="E937" t="n">
        <v>0</v>
      </c>
      <c r="F937" t="n">
        <v>4</v>
      </c>
      <c r="G937" t="n">
        <v>5397.607342532395</v>
      </c>
      <c r="H937" t="n">
        <v>18.90386216346381</v>
      </c>
      <c r="I937">
        <f>IF(H937=0, 0, G937/H937)</f>
        <v/>
      </c>
      <c r="J937">
        <f>RANK(I937, I$2:I$1111, 0)</f>
        <v/>
      </c>
      <c r="K937">
        <f>SUM(C937)</f>
        <v/>
      </c>
      <c r="L937">
        <f>SUM(K937,D937)</f>
        <v/>
      </c>
      <c r="M937">
        <f>SUM(L937,E937,F937)</f>
        <v/>
      </c>
      <c r="N937">
        <f>IF(L937=0, -1, K937/L937)</f>
        <v/>
      </c>
      <c r="O937">
        <f>IF(M937=0, -1, K937/M937)</f>
        <v/>
      </c>
      <c r="P937">
        <f>IF(M937=0, -1, L937/M937)</f>
        <v/>
      </c>
    </row>
    <row r="938">
      <c r="A938" t="inlineStr">
        <is>
          <t>RC00873</t>
        </is>
      </c>
      <c r="B938" t="inlineStr">
        <is>
          <t>安徽新华学院</t>
        </is>
      </c>
      <c r="C938" t="n">
        <v>0</v>
      </c>
      <c r="D938" t="n">
        <v>0</v>
      </c>
      <c r="E938" t="n">
        <v>0</v>
      </c>
      <c r="F938" t="n">
        <v>3</v>
      </c>
      <c r="G938" t="n">
        <v>4337.721760416994</v>
      </c>
      <c r="H938" t="n">
        <v>16.29649352014794</v>
      </c>
      <c r="I938">
        <f>IF(H938=0, 0, G938/H938)</f>
        <v/>
      </c>
      <c r="J938">
        <f>RANK(I938, I$2:I$1111, 0)</f>
        <v/>
      </c>
      <c r="K938">
        <f>SUM(C938)</f>
        <v/>
      </c>
      <c r="L938">
        <f>SUM(K938,D938)</f>
        <v/>
      </c>
      <c r="M938">
        <f>SUM(L938,E938,F938)</f>
        <v/>
      </c>
      <c r="N938">
        <f>IF(L938=0, -1, K938/L938)</f>
        <v/>
      </c>
      <c r="O938">
        <f>IF(M938=0, -1, K938/M938)</f>
        <v/>
      </c>
      <c r="P938">
        <f>IF(M938=0, -1, L938/M938)</f>
        <v/>
      </c>
    </row>
    <row r="939">
      <c r="A939" t="inlineStr">
        <is>
          <t>RC01170</t>
        </is>
      </c>
      <c r="B939" t="inlineStr">
        <is>
          <t>广州软件学院</t>
        </is>
      </c>
      <c r="C939" t="n">
        <v>0</v>
      </c>
      <c r="D939" t="n">
        <v>0</v>
      </c>
      <c r="E939" t="n">
        <v>1</v>
      </c>
      <c r="F939" t="n">
        <v>1</v>
      </c>
      <c r="G939" t="n">
        <v>3658.599503322331</v>
      </c>
      <c r="H939" t="n">
        <v>10.58557378573665</v>
      </c>
      <c r="I939">
        <f>IF(H939=0, 0, G939/H939)</f>
        <v/>
      </c>
      <c r="J939">
        <f>RANK(I939, I$2:I$1111, 0)</f>
        <v/>
      </c>
      <c r="K939">
        <f>SUM(C939)</f>
        <v/>
      </c>
      <c r="L939">
        <f>SUM(K939,D939)</f>
        <v/>
      </c>
      <c r="M939">
        <f>SUM(L939,E939,F939)</f>
        <v/>
      </c>
      <c r="N939">
        <f>IF(L939=0, -1, K939/L939)</f>
        <v/>
      </c>
      <c r="O939">
        <f>IF(M939=0, -1, K939/M939)</f>
        <v/>
      </c>
      <c r="P939">
        <f>IF(M939=0, -1, L939/M939)</f>
        <v/>
      </c>
    </row>
    <row r="940">
      <c r="A940" t="inlineStr">
        <is>
          <t>RC00935</t>
        </is>
      </c>
      <c r="B940" t="inlineStr">
        <is>
          <t>成都东软学院</t>
        </is>
      </c>
      <c r="C940" t="n">
        <v>0</v>
      </c>
      <c r="D940" t="n">
        <v>0</v>
      </c>
      <c r="E940" t="n">
        <v>2</v>
      </c>
      <c r="F940" t="n">
        <v>1</v>
      </c>
      <c r="G940" t="n">
        <v>4266.538405308679</v>
      </c>
      <c r="H940" t="n">
        <v>13.52140791770957</v>
      </c>
      <c r="I940">
        <f>IF(H940=0, 0, G940/H940)</f>
        <v/>
      </c>
      <c r="J940">
        <f>RANK(I940, I$2:I$1111, 0)</f>
        <v/>
      </c>
      <c r="K940">
        <f>SUM(C940)</f>
        <v/>
      </c>
      <c r="L940">
        <f>SUM(K940,D940)</f>
        <v/>
      </c>
      <c r="M940">
        <f>SUM(L940,E940,F940)</f>
        <v/>
      </c>
      <c r="N940">
        <f>IF(L940=0, -1, K940/L940)</f>
        <v/>
      </c>
      <c r="O940">
        <f>IF(M940=0, -1, K940/M940)</f>
        <v/>
      </c>
      <c r="P940">
        <f>IF(M940=0, -1, L940/M940)</f>
        <v/>
      </c>
    </row>
    <row r="941">
      <c r="A941" t="inlineStr">
        <is>
          <t>RC01053</t>
        </is>
      </c>
      <c r="B941" t="inlineStr">
        <is>
          <t>杭州电子科技大学信息工程学院</t>
        </is>
      </c>
      <c r="C941" t="n">
        <v>0</v>
      </c>
      <c r="D941" t="n">
        <v>0</v>
      </c>
      <c r="E941" t="n">
        <v>0</v>
      </c>
      <c r="F941" t="n">
        <v>3</v>
      </c>
      <c r="G941" t="n">
        <v>4550.092459673337</v>
      </c>
      <c r="H941" t="n">
        <v>14.83765064599427</v>
      </c>
      <c r="I941">
        <f>IF(H941=0, 0, G941/H941)</f>
        <v/>
      </c>
      <c r="J941">
        <f>RANK(I941, I$2:I$1111, 0)</f>
        <v/>
      </c>
      <c r="K941">
        <f>SUM(C941)</f>
        <v/>
      </c>
      <c r="L941">
        <f>SUM(K941,D941)</f>
        <v/>
      </c>
      <c r="M941">
        <f>SUM(L941,E941,F941)</f>
        <v/>
      </c>
      <c r="N941">
        <f>IF(L941=0, -1, K941/L941)</f>
        <v/>
      </c>
      <c r="O941">
        <f>IF(M941=0, -1, K941/M941)</f>
        <v/>
      </c>
      <c r="P941">
        <f>IF(M941=0, -1, L941/M941)</f>
        <v/>
      </c>
    </row>
    <row r="942">
      <c r="A942" t="inlineStr">
        <is>
          <t>RC00980</t>
        </is>
      </c>
      <c r="B942" t="inlineStr">
        <is>
          <t>河北师范大学汇华学院</t>
        </is>
      </c>
      <c r="C942" t="n">
        <v>0</v>
      </c>
      <c r="D942" t="n">
        <v>0</v>
      </c>
      <c r="E942" t="n">
        <v>1</v>
      </c>
      <c r="F942" t="n">
        <v>3</v>
      </c>
      <c r="G942" t="n">
        <v>6088.009099453535</v>
      </c>
      <c r="H942" t="n">
        <v>20.07454328258911</v>
      </c>
      <c r="I942">
        <f>IF(H942=0, 0, G942/H942)</f>
        <v/>
      </c>
      <c r="J942">
        <f>RANK(I942, I$2:I$1111, 0)</f>
        <v/>
      </c>
      <c r="K942">
        <f>SUM(C942)</f>
        <v/>
      </c>
      <c r="L942">
        <f>SUM(K942,D942)</f>
        <v/>
      </c>
      <c r="M942">
        <f>SUM(L942,E942,F942)</f>
        <v/>
      </c>
      <c r="N942">
        <f>IF(L942=0, -1, K942/L942)</f>
        <v/>
      </c>
      <c r="O942">
        <f>IF(M942=0, -1, K942/M942)</f>
        <v/>
      </c>
      <c r="P942">
        <f>IF(M942=0, -1, L942/M942)</f>
        <v/>
      </c>
    </row>
    <row r="943">
      <c r="A943" t="inlineStr">
        <is>
          <t>RC00933</t>
        </is>
      </c>
      <c r="B943" t="inlineStr">
        <is>
          <t>重庆工程学院</t>
        </is>
      </c>
      <c r="C943" t="n">
        <v>0</v>
      </c>
      <c r="D943" t="n">
        <v>0</v>
      </c>
      <c r="E943" t="n">
        <v>2</v>
      </c>
      <c r="F943" t="n">
        <v>5</v>
      </c>
      <c r="G943" t="n">
        <v>9036.645380026532</v>
      </c>
      <c r="H943" t="n">
        <v>29.93301031141093</v>
      </c>
      <c r="I943">
        <f>IF(H943=0, 0, G943/H943)</f>
        <v/>
      </c>
      <c r="J943">
        <f>RANK(I943, I$2:I$1111, 0)</f>
        <v/>
      </c>
      <c r="K943">
        <f>SUM(C943)</f>
        <v/>
      </c>
      <c r="L943">
        <f>SUM(K943,D943)</f>
        <v/>
      </c>
      <c r="M943">
        <f>SUM(L943,E943,F943)</f>
        <v/>
      </c>
      <c r="N943">
        <f>IF(L943=0, -1, K943/L943)</f>
        <v/>
      </c>
      <c r="O943">
        <f>IF(M943=0, -1, K943/M943)</f>
        <v/>
      </c>
      <c r="P943">
        <f>IF(M943=0, -1, L943/M943)</f>
        <v/>
      </c>
    </row>
    <row r="944">
      <c r="A944" t="inlineStr">
        <is>
          <t>RC01095</t>
        </is>
      </c>
      <c r="B944" t="inlineStr">
        <is>
          <t>赣东学院</t>
        </is>
      </c>
      <c r="C944" t="n">
        <v>0</v>
      </c>
      <c r="D944" t="n">
        <v>0</v>
      </c>
      <c r="E944" t="n">
        <v>0</v>
      </c>
      <c r="F944" t="n">
        <v>2</v>
      </c>
      <c r="G944" t="n">
        <v>2407.568499602795</v>
      </c>
      <c r="H944" t="n">
        <v>11.07572198107485</v>
      </c>
      <c r="I944">
        <f>IF(H944=0, 0, G944/H944)</f>
        <v/>
      </c>
      <c r="J944">
        <f>RANK(I944, I$2:I$1111, 0)</f>
        <v/>
      </c>
      <c r="K944">
        <f>SUM(C944)</f>
        <v/>
      </c>
      <c r="L944">
        <f>SUM(K944,D944)</f>
        <v/>
      </c>
      <c r="M944">
        <f>SUM(L944,E944,F944)</f>
        <v/>
      </c>
      <c r="N944">
        <f>IF(L944=0, -1, K944/L944)</f>
        <v/>
      </c>
      <c r="O944">
        <f>IF(M944=0, -1, K944/M944)</f>
        <v/>
      </c>
      <c r="P944">
        <f>IF(M944=0, -1, L944/M944)</f>
        <v/>
      </c>
    </row>
    <row r="945">
      <c r="A945" t="inlineStr">
        <is>
          <t>RC01087</t>
        </is>
      </c>
      <c r="B945" t="inlineStr">
        <is>
          <t>集美大学诚毅学院</t>
        </is>
      </c>
      <c r="C945" t="n">
        <v>0</v>
      </c>
      <c r="D945" t="n">
        <v>0</v>
      </c>
      <c r="E945" t="n">
        <v>0</v>
      </c>
      <c r="F945" t="n">
        <v>3</v>
      </c>
      <c r="G945" t="n">
        <v>3899.851271729437</v>
      </c>
      <c r="H945" t="n">
        <v>16.76683190447729</v>
      </c>
      <c r="I945">
        <f>IF(H945=0, 0, G945/H945)</f>
        <v/>
      </c>
      <c r="J945">
        <f>RANK(I945, I$2:I$1111, 0)</f>
        <v/>
      </c>
      <c r="K945">
        <f>SUM(C945)</f>
        <v/>
      </c>
      <c r="L945">
        <f>SUM(K945,D945)</f>
        <v/>
      </c>
      <c r="M945">
        <f>SUM(L945,E945,F945)</f>
        <v/>
      </c>
      <c r="N945">
        <f>IF(L945=0, -1, K945/L945)</f>
        <v/>
      </c>
      <c r="O945">
        <f>IF(M945=0, -1, K945/M945)</f>
        <v/>
      </c>
      <c r="P945">
        <f>IF(M945=0, -1, L945/M945)</f>
        <v/>
      </c>
    </row>
    <row r="946">
      <c r="A946" t="inlineStr">
        <is>
          <t>RC00242</t>
        </is>
      </c>
      <c r="B946" t="inlineStr">
        <is>
          <t>河套学院</t>
        </is>
      </c>
      <c r="C946" t="n">
        <v>0</v>
      </c>
      <c r="D946" t="n">
        <v>0</v>
      </c>
      <c r="E946" t="n">
        <v>0</v>
      </c>
      <c r="F946" t="n">
        <v>3</v>
      </c>
      <c r="G946" t="n">
        <v>4055.124638006864</v>
      </c>
      <c r="H946" t="n">
        <v>15.81306394017143</v>
      </c>
      <c r="I946">
        <f>IF(H946=0, 0, G946/H946)</f>
        <v/>
      </c>
      <c r="J946">
        <f>RANK(I946, I$2:I$1111, 0)</f>
        <v/>
      </c>
      <c r="K946">
        <f>SUM(C946)</f>
        <v/>
      </c>
      <c r="L946">
        <f>SUM(K946,D946)</f>
        <v/>
      </c>
      <c r="M946">
        <f>SUM(L946,E946,F946)</f>
        <v/>
      </c>
      <c r="N946">
        <f>IF(L946=0, -1, K946/L946)</f>
        <v/>
      </c>
      <c r="O946">
        <f>IF(M946=0, -1, K946/M946)</f>
        <v/>
      </c>
      <c r="P946">
        <f>IF(M946=0, -1, L946/M946)</f>
        <v/>
      </c>
    </row>
    <row r="947">
      <c r="A947" t="inlineStr">
        <is>
          <t>RC00532</t>
        </is>
      </c>
      <c r="B947" t="inlineStr">
        <is>
          <t>河南城建学院</t>
        </is>
      </c>
      <c r="C947" t="n">
        <v>0</v>
      </c>
      <c r="D947" t="n">
        <v>0</v>
      </c>
      <c r="E947" t="n">
        <v>2</v>
      </c>
      <c r="F947" t="n">
        <v>11</v>
      </c>
      <c r="G947" t="n">
        <v>20195.79382213647</v>
      </c>
      <c r="H947" t="n">
        <v>61.37437991116187</v>
      </c>
      <c r="I947">
        <f>IF(H947=0, 0, G947/H947)</f>
        <v/>
      </c>
      <c r="J947">
        <f>RANK(I947, I$2:I$1111, 0)</f>
        <v/>
      </c>
      <c r="K947">
        <f>SUM(C947)</f>
        <v/>
      </c>
      <c r="L947">
        <f>SUM(K947,D947)</f>
        <v/>
      </c>
      <c r="M947">
        <f>SUM(L947,E947,F947)</f>
        <v/>
      </c>
      <c r="N947">
        <f>IF(L947=0, -1, K947/L947)</f>
        <v/>
      </c>
      <c r="O947">
        <f>IF(M947=0, -1, K947/M947)</f>
        <v/>
      </c>
      <c r="P947">
        <f>IF(M947=0, -1, L947/M947)</f>
        <v/>
      </c>
    </row>
    <row r="948">
      <c r="A948" t="inlineStr">
        <is>
          <t>RC00906</t>
        </is>
      </c>
      <c r="B948" t="inlineStr">
        <is>
          <t>武汉东湖学院</t>
        </is>
      </c>
      <c r="C948" t="n">
        <v>0</v>
      </c>
      <c r="D948" t="n">
        <v>0</v>
      </c>
      <c r="E948" t="n">
        <v>0</v>
      </c>
      <c r="F948" t="n">
        <v>3</v>
      </c>
      <c r="G948" t="n">
        <v>3088.958608526315</v>
      </c>
      <c r="H948" t="n">
        <v>13.94481628502656</v>
      </c>
      <c r="I948">
        <f>IF(H948=0, 0, G948/H948)</f>
        <v/>
      </c>
      <c r="J948">
        <f>RANK(I948, I$2:I$1111, 0)</f>
        <v/>
      </c>
      <c r="K948">
        <f>SUM(C948)</f>
        <v/>
      </c>
      <c r="L948">
        <f>SUM(K948,D948)</f>
        <v/>
      </c>
      <c r="M948">
        <f>SUM(L948,E948,F948)</f>
        <v/>
      </c>
      <c r="N948">
        <f>IF(L948=0, -1, K948/L948)</f>
        <v/>
      </c>
      <c r="O948">
        <f>IF(M948=0, -1, K948/M948)</f>
        <v/>
      </c>
      <c r="P948">
        <f>IF(M948=0, -1, L948/M948)</f>
        <v/>
      </c>
    </row>
    <row r="949">
      <c r="A949" t="inlineStr">
        <is>
          <t>RC00793</t>
        </is>
      </c>
      <c r="B949" t="inlineStr">
        <is>
          <t>上海健康医学院</t>
        </is>
      </c>
      <c r="C949" t="n">
        <v>1</v>
      </c>
      <c r="D949" t="n">
        <v>0</v>
      </c>
      <c r="E949" t="n">
        <v>2</v>
      </c>
      <c r="F949" t="n">
        <v>8</v>
      </c>
      <c r="G949" t="n">
        <v>17791.54124195269</v>
      </c>
      <c r="H949" t="n">
        <v>41.27835451416382</v>
      </c>
      <c r="I949">
        <f>IF(H949=0, 0, G949/H949)</f>
        <v/>
      </c>
      <c r="J949">
        <f>RANK(I949, I$2:I$1111, 0)</f>
        <v/>
      </c>
      <c r="K949">
        <f>SUM(C949)</f>
        <v/>
      </c>
      <c r="L949">
        <f>SUM(K949,D949)</f>
        <v/>
      </c>
      <c r="M949">
        <f>SUM(L949,E949,F949)</f>
        <v/>
      </c>
      <c r="N949">
        <f>IF(L949=0, -1, K949/L949)</f>
        <v/>
      </c>
      <c r="O949">
        <f>IF(M949=0, -1, K949/M949)</f>
        <v/>
      </c>
      <c r="P949">
        <f>IF(M949=0, -1, L949/M949)</f>
        <v/>
      </c>
    </row>
    <row r="950">
      <c r="A950" t="inlineStr">
        <is>
          <t>RC00845</t>
        </is>
      </c>
      <c r="B950" t="inlineStr">
        <is>
          <t>吉林动画学院</t>
        </is>
      </c>
      <c r="C950" t="n">
        <v>0</v>
      </c>
      <c r="D950" t="n">
        <v>1</v>
      </c>
      <c r="E950" t="n">
        <v>3</v>
      </c>
      <c r="F950" t="n">
        <v>4</v>
      </c>
      <c r="G950" t="n">
        <v>16407.42779152325</v>
      </c>
      <c r="H950" t="n">
        <v>38.67244141585181</v>
      </c>
      <c r="I950">
        <f>IF(H950=0, 0, G950/H950)</f>
        <v/>
      </c>
      <c r="J950">
        <f>RANK(I950, I$2:I$1111, 0)</f>
        <v/>
      </c>
      <c r="K950">
        <f>SUM(C950)</f>
        <v/>
      </c>
      <c r="L950">
        <f>SUM(K950,D950)</f>
        <v/>
      </c>
      <c r="M950">
        <f>SUM(L950,E950,F950)</f>
        <v/>
      </c>
      <c r="N950">
        <f>IF(L950=0, -1, K950/L950)</f>
        <v/>
      </c>
      <c r="O950">
        <f>IF(M950=0, -1, K950/M950)</f>
        <v/>
      </c>
      <c r="P950">
        <f>IF(M950=0, -1, L950/M950)</f>
        <v/>
      </c>
    </row>
    <row r="951">
      <c r="A951" t="inlineStr">
        <is>
          <t>RC01108</t>
        </is>
      </c>
      <c r="B951" t="inlineStr">
        <is>
          <t>青岛农业大学海都学院</t>
        </is>
      </c>
      <c r="C951" t="n">
        <v>0</v>
      </c>
      <c r="D951" t="n">
        <v>0</v>
      </c>
      <c r="E951" t="n">
        <v>0</v>
      </c>
      <c r="F951" t="n">
        <v>1</v>
      </c>
      <c r="G951" t="n">
        <v>966.8418228541848</v>
      </c>
      <c r="H951" t="n">
        <v>3.218875824868201</v>
      </c>
      <c r="I951">
        <f>IF(H951=0, 0, G951/H951)</f>
        <v/>
      </c>
      <c r="J951">
        <f>RANK(I951, I$2:I$1111, 0)</f>
        <v/>
      </c>
      <c r="K951">
        <f>SUM(C951)</f>
        <v/>
      </c>
      <c r="L951">
        <f>SUM(K951,D951)</f>
        <v/>
      </c>
      <c r="M951">
        <f>SUM(L951,E951,F951)</f>
        <v/>
      </c>
      <c r="N951">
        <f>IF(L951=0, -1, K951/L951)</f>
        <v/>
      </c>
      <c r="O951">
        <f>IF(M951=0, -1, K951/M951)</f>
        <v/>
      </c>
      <c r="P951">
        <f>IF(M951=0, -1, L951/M951)</f>
        <v/>
      </c>
    </row>
    <row r="952">
      <c r="A952" t="inlineStr">
        <is>
          <t>RC01292</t>
        </is>
      </c>
      <c r="B952" t="inlineStr">
        <is>
          <t>河北东方学院</t>
        </is>
      </c>
      <c r="C952" t="n">
        <v>0</v>
      </c>
      <c r="D952" t="n">
        <v>0</v>
      </c>
      <c r="E952" t="n">
        <v>0</v>
      </c>
      <c r="F952" t="n">
        <v>1</v>
      </c>
      <c r="G952" t="n">
        <v>907.888053167954</v>
      </c>
      <c r="H952" t="n">
        <v>3.218875824868201</v>
      </c>
      <c r="I952">
        <f>IF(H952=0, 0, G952/H952)</f>
        <v/>
      </c>
      <c r="J952">
        <f>RANK(I952, I$2:I$1111, 0)</f>
        <v/>
      </c>
      <c r="K952">
        <f>SUM(C952)</f>
        <v/>
      </c>
      <c r="L952">
        <f>SUM(K952,D952)</f>
        <v/>
      </c>
      <c r="M952">
        <f>SUM(L952,E952,F952)</f>
        <v/>
      </c>
      <c r="N952">
        <f>IF(L952=0, -1, K952/L952)</f>
        <v/>
      </c>
      <c r="O952">
        <f>IF(M952=0, -1, K952/M952)</f>
        <v/>
      </c>
      <c r="P952">
        <f>IF(M952=0, -1, L952/M952)</f>
        <v/>
      </c>
    </row>
    <row r="953">
      <c r="A953" t="inlineStr">
        <is>
          <t>RC01101</t>
        </is>
      </c>
      <c r="B953" t="inlineStr">
        <is>
          <t>南昌应用技术师范学院</t>
        </is>
      </c>
      <c r="C953" t="n">
        <v>0</v>
      </c>
      <c r="D953" t="n">
        <v>0</v>
      </c>
      <c r="E953" t="n">
        <v>0</v>
      </c>
      <c r="F953" t="n">
        <v>1</v>
      </c>
      <c r="G953" t="n">
        <v>907.888053167954</v>
      </c>
      <c r="H953" t="n">
        <v>3.218875824868201</v>
      </c>
      <c r="I953">
        <f>IF(H953=0, 0, G953/H953)</f>
        <v/>
      </c>
      <c r="J953">
        <f>RANK(I953, I$2:I$1111, 0)</f>
        <v/>
      </c>
      <c r="K953">
        <f>SUM(C953)</f>
        <v/>
      </c>
      <c r="L953">
        <f>SUM(K953,D953)</f>
        <v/>
      </c>
      <c r="M953">
        <f>SUM(L953,E953,F953)</f>
        <v/>
      </c>
      <c r="N953">
        <f>IF(L953=0, -1, K953/L953)</f>
        <v/>
      </c>
      <c r="O953">
        <f>IF(M953=0, -1, K953/M953)</f>
        <v/>
      </c>
      <c r="P953">
        <f>IF(M953=0, -1, L953/M953)</f>
        <v/>
      </c>
    </row>
    <row r="954">
      <c r="A954" t="inlineStr">
        <is>
          <t>RC00814</t>
        </is>
      </c>
      <c r="B954" t="inlineStr">
        <is>
          <t>郑州西亚斯学院</t>
        </is>
      </c>
      <c r="C954" t="n">
        <v>0</v>
      </c>
      <c r="D954" t="n">
        <v>0</v>
      </c>
      <c r="E954" t="n">
        <v>0</v>
      </c>
      <c r="F954" t="n">
        <v>3</v>
      </c>
      <c r="G954" t="n">
        <v>4018.686930589804</v>
      </c>
      <c r="H954" t="n">
        <v>12.64975796645804</v>
      </c>
      <c r="I954">
        <f>IF(H954=0, 0, G954/H954)</f>
        <v/>
      </c>
      <c r="J954">
        <f>RANK(I954, I$2:I$1111, 0)</f>
        <v/>
      </c>
      <c r="K954">
        <f>SUM(C954)</f>
        <v/>
      </c>
      <c r="L954">
        <f>SUM(K954,D954)</f>
        <v/>
      </c>
      <c r="M954">
        <f>SUM(L954,E954,F954)</f>
        <v/>
      </c>
      <c r="N954">
        <f>IF(L954=0, -1, K954/L954)</f>
        <v/>
      </c>
      <c r="O954">
        <f>IF(M954=0, -1, K954/M954)</f>
        <v/>
      </c>
      <c r="P954">
        <f>IF(M954=0, -1, L954/M954)</f>
        <v/>
      </c>
    </row>
    <row r="955">
      <c r="A955" t="inlineStr">
        <is>
          <t>RC00762</t>
        </is>
      </c>
      <c r="B955" t="inlineStr">
        <is>
          <t>陇东学院</t>
        </is>
      </c>
      <c r="C955" t="n">
        <v>0</v>
      </c>
      <c r="D955" t="n">
        <v>0</v>
      </c>
      <c r="E955" t="n">
        <v>0</v>
      </c>
      <c r="F955" t="n">
        <v>2</v>
      </c>
      <c r="G955" t="n">
        <v>3090.02293387537</v>
      </c>
      <c r="H955" t="n">
        <v>9.986218950133594</v>
      </c>
      <c r="I955">
        <f>IF(H955=0, 0, G955/H955)</f>
        <v/>
      </c>
      <c r="J955">
        <f>RANK(I955, I$2:I$1111, 0)</f>
        <v/>
      </c>
      <c r="K955">
        <f>SUM(C955)</f>
        <v/>
      </c>
      <c r="L955">
        <f>SUM(K955,D955)</f>
        <v/>
      </c>
      <c r="M955">
        <f>SUM(L955,E955,F955)</f>
        <v/>
      </c>
      <c r="N955">
        <f>IF(L955=0, -1, K955/L955)</f>
        <v/>
      </c>
      <c r="O955">
        <f>IF(M955=0, -1, K955/M955)</f>
        <v/>
      </c>
      <c r="P955">
        <f>IF(M955=0, -1, L955/M955)</f>
        <v/>
      </c>
    </row>
    <row r="956">
      <c r="A956" t="inlineStr">
        <is>
          <t>RC00625</t>
        </is>
      </c>
      <c r="B956" t="inlineStr">
        <is>
          <t>广西中医药大学</t>
        </is>
      </c>
      <c r="C956" t="n">
        <v>0</v>
      </c>
      <c r="D956" t="n">
        <v>0</v>
      </c>
      <c r="E956" t="n">
        <v>7</v>
      </c>
      <c r="F956" t="n">
        <v>7</v>
      </c>
      <c r="G956" t="n">
        <v>28781.65204097533</v>
      </c>
      <c r="H956" t="n">
        <v>62.31141035219623</v>
      </c>
      <c r="I956">
        <f>IF(H956=0, 0, G956/H956)</f>
        <v/>
      </c>
      <c r="J956">
        <f>RANK(I956, I$2:I$1111, 0)</f>
        <v/>
      </c>
      <c r="K956">
        <f>SUM(C956)</f>
        <v/>
      </c>
      <c r="L956">
        <f>SUM(K956,D956)</f>
        <v/>
      </c>
      <c r="M956">
        <f>SUM(L956,E956,F956)</f>
        <v/>
      </c>
      <c r="N956">
        <f>IF(L956=0, -1, K956/L956)</f>
        <v/>
      </c>
      <c r="O956">
        <f>IF(M956=0, -1, K956/M956)</f>
        <v/>
      </c>
      <c r="P956">
        <f>IF(M956=0, -1, L956/M956)</f>
        <v/>
      </c>
    </row>
    <row r="957">
      <c r="A957" t="inlineStr">
        <is>
          <t>RC00428</t>
        </is>
      </c>
      <c r="B957" t="inlineStr">
        <is>
          <t>福建中医药大学</t>
        </is>
      </c>
      <c r="C957" t="n">
        <v>0</v>
      </c>
      <c r="D957" t="n">
        <v>1</v>
      </c>
      <c r="E957" t="n">
        <v>7</v>
      </c>
      <c r="F957" t="n">
        <v>9</v>
      </c>
      <c r="G957" t="n">
        <v>35999.25956816583</v>
      </c>
      <c r="H957" t="n">
        <v>71.14790797661131</v>
      </c>
      <c r="I957">
        <f>IF(H957=0, 0, G957/H957)</f>
        <v/>
      </c>
      <c r="J957">
        <f>RANK(I957, I$2:I$1111, 0)</f>
        <v/>
      </c>
      <c r="K957">
        <f>SUM(C957)</f>
        <v/>
      </c>
      <c r="L957">
        <f>SUM(K957,D957)</f>
        <v/>
      </c>
      <c r="M957">
        <f>SUM(L957,E957,F957)</f>
        <v/>
      </c>
      <c r="N957">
        <f>IF(L957=0, -1, K957/L957)</f>
        <v/>
      </c>
      <c r="O957">
        <f>IF(M957=0, -1, K957/M957)</f>
        <v/>
      </c>
      <c r="P957">
        <f>IF(M957=0, -1, L957/M957)</f>
        <v/>
      </c>
    </row>
    <row r="958">
      <c r="A958" t="inlineStr">
        <is>
          <t>RC00707</t>
        </is>
      </c>
      <c r="B958" t="inlineStr">
        <is>
          <t>昆明医科大学</t>
        </is>
      </c>
      <c r="C958" t="n">
        <v>0</v>
      </c>
      <c r="D958" t="n">
        <v>0</v>
      </c>
      <c r="E958" t="n">
        <v>10</v>
      </c>
      <c r="F958" t="n">
        <v>11</v>
      </c>
      <c r="G958" t="n">
        <v>43735.33813099443</v>
      </c>
      <c r="H958" t="n">
        <v>86.9745790298834</v>
      </c>
      <c r="I958">
        <f>IF(H958=0, 0, G958/H958)</f>
        <v/>
      </c>
      <c r="J958">
        <f>RANK(I958, I$2:I$1111, 0)</f>
        <v/>
      </c>
      <c r="K958">
        <f>SUM(C958)</f>
        <v/>
      </c>
      <c r="L958">
        <f>SUM(K958,D958)</f>
        <v/>
      </c>
      <c r="M958">
        <f>SUM(L958,E958,F958)</f>
        <v/>
      </c>
      <c r="N958">
        <f>IF(L958=0, -1, K958/L958)</f>
        <v/>
      </c>
      <c r="O958">
        <f>IF(M958=0, -1, K958/M958)</f>
        <v/>
      </c>
      <c r="P958">
        <f>IF(M958=0, -1, L958/M958)</f>
        <v/>
      </c>
    </row>
    <row r="959">
      <c r="A959" t="inlineStr">
        <is>
          <t>RC00225</t>
        </is>
      </c>
      <c r="B959" t="inlineStr">
        <is>
          <t>山西中医药大学</t>
        </is>
      </c>
      <c r="C959" t="n">
        <v>0</v>
      </c>
      <c r="D959" t="n">
        <v>0</v>
      </c>
      <c r="E959" t="n">
        <v>4</v>
      </c>
      <c r="F959" t="n">
        <v>5</v>
      </c>
      <c r="G959" t="n">
        <v>16891.30159621771</v>
      </c>
      <c r="H959" t="n">
        <v>38.68884950281775</v>
      </c>
      <c r="I959">
        <f>IF(H959=0, 0, G959/H959)</f>
        <v/>
      </c>
      <c r="J959">
        <f>RANK(I959, I$2:I$1111, 0)</f>
        <v/>
      </c>
      <c r="K959">
        <f>SUM(C959)</f>
        <v/>
      </c>
      <c r="L959">
        <f>SUM(K959,D959)</f>
        <v/>
      </c>
      <c r="M959">
        <f>SUM(L959,E959,F959)</f>
        <v/>
      </c>
      <c r="N959">
        <f>IF(L959=0, -1, K959/L959)</f>
        <v/>
      </c>
      <c r="O959">
        <f>IF(M959=0, -1, K959/M959)</f>
        <v/>
      </c>
      <c r="P959">
        <f>IF(M959=0, -1, L959/M959)</f>
        <v/>
      </c>
    </row>
    <row r="960">
      <c r="A960" t="inlineStr">
        <is>
          <t>RC00884</t>
        </is>
      </c>
      <c r="B960" t="inlineStr">
        <is>
          <t>江西服装学院</t>
        </is>
      </c>
      <c r="C960" t="n">
        <v>0</v>
      </c>
      <c r="D960" t="n">
        <v>0</v>
      </c>
      <c r="E960" t="n">
        <v>1</v>
      </c>
      <c r="F960" t="n">
        <v>2</v>
      </c>
      <c r="G960" t="n">
        <v>5441.067218571268</v>
      </c>
      <c r="H960" t="n">
        <v>14.41684393925156</v>
      </c>
      <c r="I960">
        <f>IF(H960=0, 0, G960/H960)</f>
        <v/>
      </c>
      <c r="J960">
        <f>RANK(I960, I$2:I$1111, 0)</f>
        <v/>
      </c>
      <c r="K960">
        <f>SUM(C960)</f>
        <v/>
      </c>
      <c r="L960">
        <f>SUM(K960,D960)</f>
        <v/>
      </c>
      <c r="M960">
        <f>SUM(L960,E960,F960)</f>
        <v/>
      </c>
      <c r="N960">
        <f>IF(L960=0, -1, K960/L960)</f>
        <v/>
      </c>
      <c r="O960">
        <f>IF(M960=0, -1, K960/M960)</f>
        <v/>
      </c>
      <c r="P960">
        <f>IF(M960=0, -1, L960/M960)</f>
        <v/>
      </c>
    </row>
    <row r="961">
      <c r="A961" t="inlineStr">
        <is>
          <t>RC01061</t>
        </is>
      </c>
      <c r="B961" t="inlineStr">
        <is>
          <t>绍兴文理学院元培学院</t>
        </is>
      </c>
      <c r="C961" t="n">
        <v>0</v>
      </c>
      <c r="D961" t="n">
        <v>0</v>
      </c>
      <c r="E961" t="n">
        <v>0</v>
      </c>
      <c r="F961" t="n">
        <v>1</v>
      </c>
      <c r="G961" t="n">
        <v>1098.763345636176</v>
      </c>
      <c r="H961" t="n">
        <v>3.555348061489414</v>
      </c>
      <c r="I961">
        <f>IF(H961=0, 0, G961/H961)</f>
        <v/>
      </c>
      <c r="J961">
        <f>RANK(I961, I$2:I$1111, 0)</f>
        <v/>
      </c>
      <c r="K961">
        <f>SUM(C961)</f>
        <v/>
      </c>
      <c r="L961">
        <f>SUM(K961,D961)</f>
        <v/>
      </c>
      <c r="M961">
        <f>SUM(L961,E961,F961)</f>
        <v/>
      </c>
      <c r="N961">
        <f>IF(L961=0, -1, K961/L961)</f>
        <v/>
      </c>
      <c r="O961">
        <f>IF(M961=0, -1, K961/M961)</f>
        <v/>
      </c>
      <c r="P961">
        <f>IF(M961=0, -1, L961/M961)</f>
        <v/>
      </c>
    </row>
    <row r="962">
      <c r="A962" t="inlineStr">
        <is>
          <t>RC00924</t>
        </is>
      </c>
      <c r="B962" t="inlineStr">
        <is>
          <t>广东科技学院</t>
        </is>
      </c>
      <c r="C962" t="n">
        <v>0</v>
      </c>
      <c r="D962" t="n">
        <v>0</v>
      </c>
      <c r="E962" t="n">
        <v>0</v>
      </c>
      <c r="F962" t="n">
        <v>2</v>
      </c>
      <c r="G962" t="n">
        <v>2754.237864236647</v>
      </c>
      <c r="H962" t="n">
        <v>8.925986089617076</v>
      </c>
      <c r="I962">
        <f>IF(H962=0, 0, G962/H962)</f>
        <v/>
      </c>
      <c r="J962">
        <f>RANK(I962, I$2:I$1111, 0)</f>
        <v/>
      </c>
      <c r="K962">
        <f>SUM(C962)</f>
        <v/>
      </c>
      <c r="L962">
        <f>SUM(K962,D962)</f>
        <v/>
      </c>
      <c r="M962">
        <f>SUM(L962,E962,F962)</f>
        <v/>
      </c>
      <c r="N962">
        <f>IF(L962=0, -1, K962/L962)</f>
        <v/>
      </c>
      <c r="O962">
        <f>IF(M962=0, -1, K962/M962)</f>
        <v/>
      </c>
      <c r="P962">
        <f>IF(M962=0, -1, L962/M962)</f>
        <v/>
      </c>
    </row>
    <row r="963">
      <c r="A963" t="inlineStr">
        <is>
          <t>RC00950</t>
        </is>
      </c>
      <c r="B963" t="inlineStr">
        <is>
          <t>陕西服装工程学院</t>
        </is>
      </c>
      <c r="C963" t="n">
        <v>0</v>
      </c>
      <c r="D963" t="n">
        <v>0</v>
      </c>
      <c r="E963" t="n">
        <v>1</v>
      </c>
      <c r="F963" t="n">
        <v>2</v>
      </c>
      <c r="G963" t="n">
        <v>4551.551230315232</v>
      </c>
      <c r="H963" t="n">
        <v>14.42181907389168</v>
      </c>
      <c r="I963">
        <f>IF(H963=0, 0, G963/H963)</f>
        <v/>
      </c>
      <c r="J963">
        <f>RANK(I963, I$2:I$1111, 0)</f>
        <v/>
      </c>
      <c r="K963">
        <f>SUM(C963)</f>
        <v/>
      </c>
      <c r="L963">
        <f>SUM(K963,D963)</f>
        <v/>
      </c>
      <c r="M963">
        <f>SUM(L963,E963,F963)</f>
        <v/>
      </c>
      <c r="N963">
        <f>IF(L963=0, -1, K963/L963)</f>
        <v/>
      </c>
      <c r="O963">
        <f>IF(M963=0, -1, K963/M963)</f>
        <v/>
      </c>
      <c r="P963">
        <f>IF(M963=0, -1, L963/M963)</f>
        <v/>
      </c>
    </row>
    <row r="964">
      <c r="A964" t="inlineStr">
        <is>
          <t>RC00991</t>
        </is>
      </c>
      <c r="B964" t="inlineStr">
        <is>
          <t>沧州交通学院</t>
        </is>
      </c>
      <c r="C964" t="n">
        <v>0</v>
      </c>
      <c r="D964" t="n">
        <v>0</v>
      </c>
      <c r="E964" t="n">
        <v>0</v>
      </c>
      <c r="F964" t="n">
        <v>3</v>
      </c>
      <c r="G964" t="n">
        <v>4033.651530044908</v>
      </c>
      <c r="H964" t="n">
        <v>14.60956585695576</v>
      </c>
      <c r="I964">
        <f>IF(H964=0, 0, G964/H964)</f>
        <v/>
      </c>
      <c r="J964">
        <f>RANK(I964, I$2:I$1111, 0)</f>
        <v/>
      </c>
      <c r="K964">
        <f>SUM(C964)</f>
        <v/>
      </c>
      <c r="L964">
        <f>SUM(K964,D964)</f>
        <v/>
      </c>
      <c r="M964">
        <f>SUM(L964,E964,F964)</f>
        <v/>
      </c>
      <c r="N964">
        <f>IF(L964=0, -1, K964/L964)</f>
        <v/>
      </c>
      <c r="O964">
        <f>IF(M964=0, -1, K964/M964)</f>
        <v/>
      </c>
      <c r="P964">
        <f>IF(M964=0, -1, L964/M964)</f>
        <v/>
      </c>
    </row>
    <row r="965">
      <c r="A965" t="inlineStr">
        <is>
          <t>RC01013</t>
        </is>
      </c>
      <c r="B965" t="inlineStr">
        <is>
          <t>吉林建筑科技学院</t>
        </is>
      </c>
      <c r="C965" t="n">
        <v>0</v>
      </c>
      <c r="D965" t="n">
        <v>0</v>
      </c>
      <c r="E965" t="n">
        <v>0</v>
      </c>
      <c r="F965" t="n">
        <v>7</v>
      </c>
      <c r="G965" t="n">
        <v>8991.296896765996</v>
      </c>
      <c r="H965" t="n">
        <v>33.54124307114025</v>
      </c>
      <c r="I965">
        <f>IF(H965=0, 0, G965/H965)</f>
        <v/>
      </c>
      <c r="J965">
        <f>RANK(I965, I$2:I$1111, 0)</f>
        <v/>
      </c>
      <c r="K965">
        <f>SUM(C965)</f>
        <v/>
      </c>
      <c r="L965">
        <f>SUM(K965,D965)</f>
        <v/>
      </c>
      <c r="M965">
        <f>SUM(L965,E965,F965)</f>
        <v/>
      </c>
      <c r="N965">
        <f>IF(L965=0, -1, K965/L965)</f>
        <v/>
      </c>
      <c r="O965">
        <f>IF(M965=0, -1, K965/M965)</f>
        <v/>
      </c>
      <c r="P965">
        <f>IF(M965=0, -1, L965/M965)</f>
        <v/>
      </c>
    </row>
    <row r="966">
      <c r="A966" t="inlineStr">
        <is>
          <t>RC00970</t>
        </is>
      </c>
      <c r="B966" t="inlineStr">
        <is>
          <t>北京科技大学天津学院</t>
        </is>
      </c>
      <c r="C966" t="n">
        <v>0</v>
      </c>
      <c r="D966" t="n">
        <v>0</v>
      </c>
      <c r="E966" t="n">
        <v>0</v>
      </c>
      <c r="F966" t="n">
        <v>1</v>
      </c>
      <c r="G966" t="n">
        <v>522.7387581751537</v>
      </c>
      <c r="H966" t="n">
        <v>3.044522437723423</v>
      </c>
      <c r="I966">
        <f>IF(H966=0, 0, G966/H966)</f>
        <v/>
      </c>
      <c r="J966">
        <f>RANK(I966, I$2:I$1111, 0)</f>
        <v/>
      </c>
      <c r="K966">
        <f>SUM(C966)</f>
        <v/>
      </c>
      <c r="L966">
        <f>SUM(K966,D966)</f>
        <v/>
      </c>
      <c r="M966">
        <f>SUM(L966,E966,F966)</f>
        <v/>
      </c>
      <c r="N966">
        <f>IF(L966=0, -1, K966/L966)</f>
        <v/>
      </c>
      <c r="O966">
        <f>IF(M966=0, -1, K966/M966)</f>
        <v/>
      </c>
      <c r="P966">
        <f>IF(M966=0, -1, L966/M966)</f>
        <v/>
      </c>
    </row>
    <row r="967">
      <c r="A967" t="inlineStr">
        <is>
          <t>RC01225</t>
        </is>
      </c>
      <c r="B967" t="inlineStr">
        <is>
          <t>西安明德理工学院</t>
        </is>
      </c>
      <c r="C967" t="n">
        <v>0</v>
      </c>
      <c r="D967" t="n">
        <v>0</v>
      </c>
      <c r="E967" t="n">
        <v>1</v>
      </c>
      <c r="F967" t="n">
        <v>1</v>
      </c>
      <c r="G967" t="n">
        <v>2869.652290945931</v>
      </c>
      <c r="H967" t="n">
        <v>7.964503363551549</v>
      </c>
      <c r="I967">
        <f>IF(H967=0, 0, G967/H967)</f>
        <v/>
      </c>
      <c r="J967">
        <f>RANK(I967, I$2:I$1111, 0)</f>
        <v/>
      </c>
      <c r="K967">
        <f>SUM(C967)</f>
        <v/>
      </c>
      <c r="L967">
        <f>SUM(K967,D967)</f>
        <v/>
      </c>
      <c r="M967">
        <f>SUM(L967,E967,F967)</f>
        <v/>
      </c>
      <c r="N967">
        <f>IF(L967=0, -1, K967/L967)</f>
        <v/>
      </c>
      <c r="O967">
        <f>IF(M967=0, -1, K967/M967)</f>
        <v/>
      </c>
      <c r="P967">
        <f>IF(M967=0, -1, L967/M967)</f>
        <v/>
      </c>
    </row>
    <row r="968">
      <c r="A968" t="inlineStr">
        <is>
          <t>RC00332</t>
        </is>
      </c>
      <c r="B968" t="inlineStr">
        <is>
          <t>上海中医药大学</t>
        </is>
      </c>
      <c r="C968" t="n">
        <v>4</v>
      </c>
      <c r="D968" t="n">
        <v>1</v>
      </c>
      <c r="E968" t="n">
        <v>7</v>
      </c>
      <c r="F968" t="n">
        <v>3</v>
      </c>
      <c r="G968" t="n">
        <v>39161.27754802348</v>
      </c>
      <c r="H968" t="n">
        <v>56.27831710231806</v>
      </c>
      <c r="I968">
        <f>IF(H968=0, 0, G968/H968)</f>
        <v/>
      </c>
      <c r="J968">
        <f>RANK(I968, I$2:I$1111, 0)</f>
        <v/>
      </c>
      <c r="K968">
        <f>SUM(C968)</f>
        <v/>
      </c>
      <c r="L968">
        <f>SUM(K968,D968)</f>
        <v/>
      </c>
      <c r="M968">
        <f>SUM(L968,E968,F968)</f>
        <v/>
      </c>
      <c r="N968">
        <f>IF(L968=0, -1, K968/L968)</f>
        <v/>
      </c>
      <c r="O968">
        <f>IF(M968=0, -1, K968/M968)</f>
        <v/>
      </c>
      <c r="P968">
        <f>IF(M968=0, -1, L968/M968)</f>
        <v/>
      </c>
    </row>
    <row r="969">
      <c r="A969" t="inlineStr">
        <is>
          <t>RC01246</t>
        </is>
      </c>
      <c r="B969" t="inlineStr">
        <is>
          <t>杭州医学院</t>
        </is>
      </c>
      <c r="C969" t="n">
        <v>0</v>
      </c>
      <c r="D969" t="n">
        <v>0</v>
      </c>
      <c r="E969" t="n">
        <v>3</v>
      </c>
      <c r="F969" t="n">
        <v>6</v>
      </c>
      <c r="G969" t="n">
        <v>18681.44055524454</v>
      </c>
      <c r="H969" t="n">
        <v>39.39398310957709</v>
      </c>
      <c r="I969">
        <f>IF(H969=0, 0, G969/H969)</f>
        <v/>
      </c>
      <c r="J969">
        <f>RANK(I969, I$2:I$1111, 0)</f>
        <v/>
      </c>
      <c r="K969">
        <f>SUM(C969)</f>
        <v/>
      </c>
      <c r="L969">
        <f>SUM(K969,D969)</f>
        <v/>
      </c>
      <c r="M969">
        <f>SUM(L969,E969,F969)</f>
        <v/>
      </c>
      <c r="N969">
        <f>IF(L969=0, -1, K969/L969)</f>
        <v/>
      </c>
      <c r="O969">
        <f>IF(M969=0, -1, K969/M969)</f>
        <v/>
      </c>
      <c r="P969">
        <f>IF(M969=0, -1, L969/M969)</f>
        <v/>
      </c>
    </row>
    <row r="970">
      <c r="A970" t="inlineStr">
        <is>
          <t>RC01237</t>
        </is>
      </c>
      <c r="B970" t="inlineStr">
        <is>
          <t>新疆理工学院</t>
        </is>
      </c>
      <c r="C970" t="n">
        <v>1</v>
      </c>
      <c r="D970" t="n">
        <v>0</v>
      </c>
      <c r="E970" t="n">
        <v>0</v>
      </c>
      <c r="F970" t="n">
        <v>1</v>
      </c>
      <c r="G970" t="n">
        <v>2762.479341613484</v>
      </c>
      <c r="H970" t="n">
        <v>4.025351690735149</v>
      </c>
      <c r="I970">
        <f>IF(H970=0, 0, G970/H970)</f>
        <v/>
      </c>
      <c r="J970">
        <f>RANK(I970, I$2:I$1111, 0)</f>
        <v/>
      </c>
      <c r="K970">
        <f>SUM(C970)</f>
        <v/>
      </c>
      <c r="L970">
        <f>SUM(K970,D970)</f>
        <v/>
      </c>
      <c r="M970">
        <f>SUM(L970,E970,F970)</f>
        <v/>
      </c>
      <c r="N970">
        <f>IF(L970=0, -1, K970/L970)</f>
        <v/>
      </c>
      <c r="O970">
        <f>IF(M970=0, -1, K970/M970)</f>
        <v/>
      </c>
      <c r="P970">
        <f>IF(M970=0, -1, L970/M970)</f>
        <v/>
      </c>
    </row>
    <row r="971">
      <c r="A971" t="inlineStr">
        <is>
          <t>RC00923</t>
        </is>
      </c>
      <c r="B971" t="inlineStr">
        <is>
          <t>广州工商学院</t>
        </is>
      </c>
      <c r="C971" t="n">
        <v>0</v>
      </c>
      <c r="D971" t="n">
        <v>0</v>
      </c>
      <c r="E971" t="n">
        <v>0</v>
      </c>
      <c r="F971" t="n">
        <v>1</v>
      </c>
      <c r="G971" t="n">
        <v>1226.337319452211</v>
      </c>
      <c r="H971" t="n">
        <v>2.079441541679836</v>
      </c>
      <c r="I971">
        <f>IF(H971=0, 0, G971/H971)</f>
        <v/>
      </c>
      <c r="J971">
        <f>RANK(I971, I$2:I$1111, 0)</f>
        <v/>
      </c>
      <c r="K971">
        <f>SUM(C971)</f>
        <v/>
      </c>
      <c r="L971">
        <f>SUM(K971,D971)</f>
        <v/>
      </c>
      <c r="M971">
        <f>SUM(L971,E971,F971)</f>
        <v/>
      </c>
      <c r="N971">
        <f>IF(L971=0, -1, K971/L971)</f>
        <v/>
      </c>
      <c r="O971">
        <f>IF(M971=0, -1, K971/M971)</f>
        <v/>
      </c>
      <c r="P971">
        <f>IF(M971=0, -1, L971/M971)</f>
        <v/>
      </c>
    </row>
    <row r="972">
      <c r="A972" t="inlineStr">
        <is>
          <t>RC01009</t>
        </is>
      </c>
      <c r="B972" t="inlineStr">
        <is>
          <t>锦州医科大学医疗学院</t>
        </is>
      </c>
      <c r="C972" t="n">
        <v>0</v>
      </c>
      <c r="D972" t="n">
        <v>0</v>
      </c>
      <c r="E972" t="n">
        <v>0</v>
      </c>
      <c r="F972" t="n">
        <v>1</v>
      </c>
      <c r="G972" t="n">
        <v>1226.337319452211</v>
      </c>
      <c r="H972" t="n">
        <v>2.079441541679836</v>
      </c>
      <c r="I972">
        <f>IF(H972=0, 0, G972/H972)</f>
        <v/>
      </c>
      <c r="J972">
        <f>RANK(I972, I$2:I$1111, 0)</f>
        <v/>
      </c>
      <c r="K972">
        <f>SUM(C972)</f>
        <v/>
      </c>
      <c r="L972">
        <f>SUM(K972,D972)</f>
        <v/>
      </c>
      <c r="M972">
        <f>SUM(L972,E972,F972)</f>
        <v/>
      </c>
      <c r="N972">
        <f>IF(L972=0, -1, K972/L972)</f>
        <v/>
      </c>
      <c r="O972">
        <f>IF(M972=0, -1, K972/M972)</f>
        <v/>
      </c>
      <c r="P972">
        <f>IF(M972=0, -1, L972/M972)</f>
        <v/>
      </c>
    </row>
    <row r="973">
      <c r="A973" t="inlineStr">
        <is>
          <t>RC00895</t>
        </is>
      </c>
      <c r="B973" t="inlineStr">
        <is>
          <t>青岛工学院</t>
        </is>
      </c>
      <c r="C973" t="n">
        <v>0</v>
      </c>
      <c r="D973" t="n">
        <v>0</v>
      </c>
      <c r="E973" t="n">
        <v>0</v>
      </c>
      <c r="F973" t="n">
        <v>1</v>
      </c>
      <c r="G973" t="n">
        <v>1218.720317468036</v>
      </c>
      <c r="H973" t="n">
        <v>2.079441541679836</v>
      </c>
      <c r="I973">
        <f>IF(H973=0, 0, G973/H973)</f>
        <v/>
      </c>
      <c r="J973">
        <f>RANK(I973, I$2:I$1111, 0)</f>
        <v/>
      </c>
      <c r="K973">
        <f>SUM(C973)</f>
        <v/>
      </c>
      <c r="L973">
        <f>SUM(K973,D973)</f>
        <v/>
      </c>
      <c r="M973">
        <f>SUM(L973,E973,F973)</f>
        <v/>
      </c>
      <c r="N973">
        <f>IF(L973=0, -1, K973/L973)</f>
        <v/>
      </c>
      <c r="O973">
        <f>IF(M973=0, -1, K973/M973)</f>
        <v/>
      </c>
      <c r="P973">
        <f>IF(M973=0, -1, L973/M973)</f>
        <v/>
      </c>
    </row>
    <row r="974">
      <c r="A974" t="inlineStr">
        <is>
          <t>RC01023</t>
        </is>
      </c>
      <c r="B974" t="inlineStr">
        <is>
          <t>东南大学成贤学院</t>
        </is>
      </c>
      <c r="C974" t="n">
        <v>0</v>
      </c>
      <c r="D974" t="n">
        <v>0</v>
      </c>
      <c r="E974" t="n">
        <v>0</v>
      </c>
      <c r="F974" t="n">
        <v>4</v>
      </c>
      <c r="G974" t="n">
        <v>6579.942674560523</v>
      </c>
      <c r="H974" t="n">
        <v>21.19131394916445</v>
      </c>
      <c r="I974">
        <f>IF(H974=0, 0, G974/H974)</f>
        <v/>
      </c>
      <c r="J974">
        <f>RANK(I974, I$2:I$1111, 0)</f>
        <v/>
      </c>
      <c r="K974">
        <f>SUM(C974)</f>
        <v/>
      </c>
      <c r="L974">
        <f>SUM(K974,D974)</f>
        <v/>
      </c>
      <c r="M974">
        <f>SUM(L974,E974,F974)</f>
        <v/>
      </c>
      <c r="N974">
        <f>IF(L974=0, -1, K974/L974)</f>
        <v/>
      </c>
      <c r="O974">
        <f>IF(M974=0, -1, K974/M974)</f>
        <v/>
      </c>
      <c r="P974">
        <f>IF(M974=0, -1, L974/M974)</f>
        <v/>
      </c>
    </row>
    <row r="975">
      <c r="A975" t="inlineStr">
        <is>
          <t>RC00114</t>
        </is>
      </c>
      <c r="B975" t="inlineStr">
        <is>
          <t>河北医科大学</t>
        </is>
      </c>
      <c r="C975" t="n">
        <v>1</v>
      </c>
      <c r="D975" t="n">
        <v>2</v>
      </c>
      <c r="E975" t="n">
        <v>17</v>
      </c>
      <c r="F975" t="n">
        <v>8</v>
      </c>
      <c r="G975" t="n">
        <v>63249.31930229728</v>
      </c>
      <c r="H975" t="n">
        <v>101.7151272846379</v>
      </c>
      <c r="I975">
        <f>IF(H975=0, 0, G975/H975)</f>
        <v/>
      </c>
      <c r="J975">
        <f>RANK(I975, I$2:I$1111, 0)</f>
        <v/>
      </c>
      <c r="K975">
        <f>SUM(C975)</f>
        <v/>
      </c>
      <c r="L975">
        <f>SUM(K975,D975)</f>
        <v/>
      </c>
      <c r="M975">
        <f>SUM(L975,E975,F975)</f>
        <v/>
      </c>
      <c r="N975">
        <f>IF(L975=0, -1, K975/L975)</f>
        <v/>
      </c>
      <c r="O975">
        <f>IF(M975=0, -1, K975/M975)</f>
        <v/>
      </c>
      <c r="P975">
        <f>IF(M975=0, -1, L975/M975)</f>
        <v/>
      </c>
    </row>
    <row r="976">
      <c r="A976" t="inlineStr">
        <is>
          <t>RC01249</t>
        </is>
      </c>
      <c r="B976" t="inlineStr">
        <is>
          <t>厦门医学院</t>
        </is>
      </c>
      <c r="C976" t="n">
        <v>0</v>
      </c>
      <c r="D976" t="n">
        <v>0</v>
      </c>
      <c r="E976" t="n">
        <v>1</v>
      </c>
      <c r="F976" t="n">
        <v>7</v>
      </c>
      <c r="G976" t="n">
        <v>12741.0135098745</v>
      </c>
      <c r="H976" t="n">
        <v>33.69051762681951</v>
      </c>
      <c r="I976">
        <f>IF(H976=0, 0, G976/H976)</f>
        <v/>
      </c>
      <c r="J976">
        <f>RANK(I976, I$2:I$1111, 0)</f>
        <v/>
      </c>
      <c r="K976">
        <f>SUM(C976)</f>
        <v/>
      </c>
      <c r="L976">
        <f>SUM(K976,D976)</f>
        <v/>
      </c>
      <c r="M976">
        <f>SUM(L976,E976,F976)</f>
        <v/>
      </c>
      <c r="N976">
        <f>IF(L976=0, -1, K976/L976)</f>
        <v/>
      </c>
      <c r="O976">
        <f>IF(M976=0, -1, K976/M976)</f>
        <v/>
      </c>
      <c r="P976">
        <f>IF(M976=0, -1, L976/M976)</f>
        <v/>
      </c>
    </row>
    <row r="977">
      <c r="A977" t="inlineStr">
        <is>
          <t>RC00300</t>
        </is>
      </c>
      <c r="B977" t="inlineStr">
        <is>
          <t>吉林农业科技学院</t>
        </is>
      </c>
      <c r="C977" t="n">
        <v>0</v>
      </c>
      <c r="D977" t="n">
        <v>0</v>
      </c>
      <c r="E977" t="n">
        <v>0</v>
      </c>
      <c r="F977" t="n">
        <v>5</v>
      </c>
      <c r="G977" t="n">
        <v>7425.707919688032</v>
      </c>
      <c r="H977" t="n">
        <v>24.39170287501499</v>
      </c>
      <c r="I977">
        <f>IF(H977=0, 0, G977/H977)</f>
        <v/>
      </c>
      <c r="J977">
        <f>RANK(I977, I$2:I$1111, 0)</f>
        <v/>
      </c>
      <c r="K977">
        <f>SUM(C977)</f>
        <v/>
      </c>
      <c r="L977">
        <f>SUM(K977,D977)</f>
        <v/>
      </c>
      <c r="M977">
        <f>SUM(L977,E977,F977)</f>
        <v/>
      </c>
      <c r="N977">
        <f>IF(L977=0, -1, K977/L977)</f>
        <v/>
      </c>
      <c r="O977">
        <f>IF(M977=0, -1, K977/M977)</f>
        <v/>
      </c>
      <c r="P977">
        <f>IF(M977=0, -1, L977/M977)</f>
        <v/>
      </c>
    </row>
    <row r="978">
      <c r="A978" t="inlineStr">
        <is>
          <t>RC00039</t>
        </is>
      </c>
      <c r="B978" t="inlineStr">
        <is>
          <t>北京协和医学院</t>
        </is>
      </c>
      <c r="C978" t="n">
        <v>2</v>
      </c>
      <c r="D978" t="n">
        <v>1</v>
      </c>
      <c r="E978" t="n">
        <v>0</v>
      </c>
      <c r="F978" t="n">
        <v>0</v>
      </c>
      <c r="G978" t="n">
        <v>13241.81419634122</v>
      </c>
      <c r="H978" t="n">
        <v>14.65646376209094</v>
      </c>
      <c r="I978">
        <f>IF(H978=0, 0, G978/H978)</f>
        <v/>
      </c>
      <c r="J978">
        <f>RANK(I978, I$2:I$1111, 0)</f>
        <v/>
      </c>
      <c r="K978">
        <f>SUM(C978)</f>
        <v/>
      </c>
      <c r="L978">
        <f>SUM(K978,D978)</f>
        <v/>
      </c>
      <c r="M978">
        <f>SUM(L978,E978,F978)</f>
        <v/>
      </c>
      <c r="N978">
        <f>IF(L978=0, -1, K978/L978)</f>
        <v/>
      </c>
      <c r="O978">
        <f>IF(M978=0, -1, K978/M978)</f>
        <v/>
      </c>
      <c r="P978">
        <f>IF(M978=0, -1, L978/M978)</f>
        <v/>
      </c>
    </row>
    <row r="979">
      <c r="A979" t="inlineStr">
        <is>
          <t>RC00781</t>
        </is>
      </c>
      <c r="B979" t="inlineStr">
        <is>
          <t>新疆医科大学</t>
        </is>
      </c>
      <c r="C979" t="n">
        <v>0</v>
      </c>
      <c r="D979" t="n">
        <v>0</v>
      </c>
      <c r="E979" t="n">
        <v>4</v>
      </c>
      <c r="F979" t="n">
        <v>11</v>
      </c>
      <c r="G979" t="n">
        <v>28210.62077871376</v>
      </c>
      <c r="H979" t="n">
        <v>62.96173252284549</v>
      </c>
      <c r="I979">
        <f>IF(H979=0, 0, G979/H979)</f>
        <v/>
      </c>
      <c r="J979">
        <f>RANK(I979, I$2:I$1111, 0)</f>
        <v/>
      </c>
      <c r="K979">
        <f>SUM(C979)</f>
        <v/>
      </c>
      <c r="L979">
        <f>SUM(K979,D979)</f>
        <v/>
      </c>
      <c r="M979">
        <f>SUM(L979,E979,F979)</f>
        <v/>
      </c>
      <c r="N979">
        <f>IF(L979=0, -1, K979/L979)</f>
        <v/>
      </c>
      <c r="O979">
        <f>IF(M979=0, -1, K979/M979)</f>
        <v/>
      </c>
      <c r="P979">
        <f>IF(M979=0, -1, L979/M979)</f>
        <v/>
      </c>
    </row>
    <row r="980">
      <c r="A980" t="inlineStr">
        <is>
          <t>RC00753</t>
        </is>
      </c>
      <c r="B980" t="inlineStr">
        <is>
          <t>西安医学院</t>
        </is>
      </c>
      <c r="C980" t="n">
        <v>0</v>
      </c>
      <c r="D980" t="n">
        <v>0</v>
      </c>
      <c r="E980" t="n">
        <v>0</v>
      </c>
      <c r="F980" t="n">
        <v>10</v>
      </c>
      <c r="G980" t="n">
        <v>18933.789787576</v>
      </c>
      <c r="H980" t="n">
        <v>44.60300539300466</v>
      </c>
      <c r="I980">
        <f>IF(H980=0, 0, G980/H980)</f>
        <v/>
      </c>
      <c r="J980">
        <f>RANK(I980, I$2:I$1111, 0)</f>
        <v/>
      </c>
      <c r="K980">
        <f>SUM(C980)</f>
        <v/>
      </c>
      <c r="L980">
        <f>SUM(K980,D980)</f>
        <v/>
      </c>
      <c r="M980">
        <f>SUM(L980,E980,F980)</f>
        <v/>
      </c>
      <c r="N980">
        <f>IF(L980=0, -1, K980/L980)</f>
        <v/>
      </c>
      <c r="O980">
        <f>IF(M980=0, -1, K980/M980)</f>
        <v/>
      </c>
      <c r="P980">
        <f>IF(M980=0, -1, L980/M980)</f>
        <v/>
      </c>
    </row>
    <row r="981">
      <c r="A981" t="inlineStr">
        <is>
          <t>RC00669</t>
        </is>
      </c>
      <c r="B981" t="inlineStr">
        <is>
          <t>川北医学院</t>
        </is>
      </c>
      <c r="C981" t="n">
        <v>0</v>
      </c>
      <c r="D981" t="n">
        <v>0</v>
      </c>
      <c r="E981" t="n">
        <v>2</v>
      </c>
      <c r="F981" t="n">
        <v>11</v>
      </c>
      <c r="G981" t="n">
        <v>23670.16774298299</v>
      </c>
      <c r="H981" t="n">
        <v>57.78416048316262</v>
      </c>
      <c r="I981">
        <f>IF(H981=0, 0, G981/H981)</f>
        <v/>
      </c>
      <c r="J981">
        <f>RANK(I981, I$2:I$1111, 0)</f>
        <v/>
      </c>
      <c r="K981">
        <f>SUM(C981)</f>
        <v/>
      </c>
      <c r="L981">
        <f>SUM(K981,D981)</f>
        <v/>
      </c>
      <c r="M981">
        <f>SUM(L981,E981,F981)</f>
        <v/>
      </c>
      <c r="N981">
        <f>IF(L981=0, -1, K981/L981)</f>
        <v/>
      </c>
      <c r="O981">
        <f>IF(M981=0, -1, K981/M981)</f>
        <v/>
      </c>
      <c r="P981">
        <f>IF(M981=0, -1, L981/M981)</f>
        <v/>
      </c>
    </row>
    <row r="982">
      <c r="A982" t="inlineStr">
        <is>
          <t>RC00216</t>
        </is>
      </c>
      <c r="B982" t="inlineStr">
        <is>
          <t>长治医学院</t>
        </is>
      </c>
      <c r="C982" t="n">
        <v>0</v>
      </c>
      <c r="D982" t="n">
        <v>0</v>
      </c>
      <c r="E982" t="n">
        <v>1</v>
      </c>
      <c r="F982" t="n">
        <v>8</v>
      </c>
      <c r="G982" t="n">
        <v>16042.36104276658</v>
      </c>
      <c r="H982" t="n">
        <v>39.76688926712537</v>
      </c>
      <c r="I982">
        <f>IF(H982=0, 0, G982/H982)</f>
        <v/>
      </c>
      <c r="J982">
        <f>RANK(I982, I$2:I$1111, 0)</f>
        <v/>
      </c>
      <c r="K982">
        <f>SUM(C982)</f>
        <v/>
      </c>
      <c r="L982">
        <f>SUM(K982,D982)</f>
        <v/>
      </c>
      <c r="M982">
        <f>SUM(L982,E982,F982)</f>
        <v/>
      </c>
      <c r="N982">
        <f>IF(L982=0, -1, K982/L982)</f>
        <v/>
      </c>
      <c r="O982">
        <f>IF(M982=0, -1, K982/M982)</f>
        <v/>
      </c>
      <c r="P982">
        <f>IF(M982=0, -1, L982/M982)</f>
        <v/>
      </c>
    </row>
    <row r="983">
      <c r="A983" t="inlineStr">
        <is>
          <t>RC00726</t>
        </is>
      </c>
      <c r="B983" t="inlineStr">
        <is>
          <t>西藏藏医药大学</t>
        </is>
      </c>
      <c r="C983" t="n">
        <v>1</v>
      </c>
      <c r="D983" t="n">
        <v>0</v>
      </c>
      <c r="E983" t="n">
        <v>0</v>
      </c>
      <c r="F983" t="n">
        <v>2</v>
      </c>
      <c r="G983" t="n">
        <v>3419.416494063111</v>
      </c>
      <c r="H983" t="n">
        <v>9.955130785687967</v>
      </c>
      <c r="I983">
        <f>IF(H983=0, 0, G983/H983)</f>
        <v/>
      </c>
      <c r="J983">
        <f>RANK(I983, I$2:I$1111, 0)</f>
        <v/>
      </c>
      <c r="K983">
        <f>SUM(C983)</f>
        <v/>
      </c>
      <c r="L983">
        <f>SUM(K983,D983)</f>
        <v/>
      </c>
      <c r="M983">
        <f>SUM(L983,E983,F983)</f>
        <v/>
      </c>
      <c r="N983">
        <f>IF(L983=0, -1, K983/L983)</f>
        <v/>
      </c>
      <c r="O983">
        <f>IF(M983=0, -1, K983/M983)</f>
        <v/>
      </c>
      <c r="P983">
        <f>IF(M983=0, -1, L983/M983)</f>
        <v/>
      </c>
    </row>
    <row r="984">
      <c r="A984" t="inlineStr">
        <is>
          <t>RC00591</t>
        </is>
      </c>
      <c r="B984" t="inlineStr">
        <is>
          <t>湖南医药学院</t>
        </is>
      </c>
      <c r="C984" t="n">
        <v>0</v>
      </c>
      <c r="D984" t="n">
        <v>0</v>
      </c>
      <c r="E984" t="n">
        <v>1</v>
      </c>
      <c r="F984" t="n">
        <v>5</v>
      </c>
      <c r="G984" t="n">
        <v>11308.78097610106</v>
      </c>
      <c r="H984" t="n">
        <v>28.67699076790874</v>
      </c>
      <c r="I984">
        <f>IF(H984=0, 0, G984/H984)</f>
        <v/>
      </c>
      <c r="J984">
        <f>RANK(I984, I$2:I$1111, 0)</f>
        <v/>
      </c>
      <c r="K984">
        <f>SUM(C984)</f>
        <v/>
      </c>
      <c r="L984">
        <f>SUM(K984,D984)</f>
        <v/>
      </c>
      <c r="M984">
        <f>SUM(L984,E984,F984)</f>
        <v/>
      </c>
      <c r="N984">
        <f>IF(L984=0, -1, K984/L984)</f>
        <v/>
      </c>
      <c r="O984">
        <f>IF(M984=0, -1, K984/M984)</f>
        <v/>
      </c>
      <c r="P984">
        <f>IF(M984=0, -1, L984/M984)</f>
        <v/>
      </c>
    </row>
    <row r="985">
      <c r="A985" t="inlineStr">
        <is>
          <t>RC01097</t>
        </is>
      </c>
      <c r="B985" t="inlineStr">
        <is>
          <t>南昌医学院</t>
        </is>
      </c>
      <c r="C985" t="n">
        <v>0</v>
      </c>
      <c r="D985" t="n">
        <v>0</v>
      </c>
      <c r="E985" t="n">
        <v>1</v>
      </c>
      <c r="F985" t="n">
        <v>7</v>
      </c>
      <c r="G985" t="n">
        <v>12906.16483360638</v>
      </c>
      <c r="H985" t="n">
        <v>31.67002616819926</v>
      </c>
      <c r="I985">
        <f>IF(H985=0, 0, G985/H985)</f>
        <v/>
      </c>
      <c r="J985">
        <f>RANK(I985, I$2:I$1111, 0)</f>
        <v/>
      </c>
      <c r="K985">
        <f>SUM(C985)</f>
        <v/>
      </c>
      <c r="L985">
        <f>SUM(K985,D985)</f>
        <v/>
      </c>
      <c r="M985">
        <f>SUM(L985,E985,F985)</f>
        <v/>
      </c>
      <c r="N985">
        <f>IF(L985=0, -1, K985/L985)</f>
        <v/>
      </c>
      <c r="O985">
        <f>IF(M985=0, -1, K985/M985)</f>
        <v/>
      </c>
      <c r="P985">
        <f>IF(M985=0, -1, L985/M985)</f>
        <v/>
      </c>
    </row>
    <row r="986">
      <c r="A986" t="inlineStr">
        <is>
          <t>RC00803</t>
        </is>
      </c>
      <c r="B986" t="inlineStr">
        <is>
          <t>内蒙古科技大学包头医学院</t>
        </is>
      </c>
      <c r="C986" t="n">
        <v>0</v>
      </c>
      <c r="D986" t="n">
        <v>0</v>
      </c>
      <c r="E986" t="n">
        <v>0</v>
      </c>
      <c r="F986" t="n">
        <v>4</v>
      </c>
      <c r="G986" t="n">
        <v>6203.93320588045</v>
      </c>
      <c r="H986" t="n">
        <v>18.80873668814428</v>
      </c>
      <c r="I986">
        <f>IF(H986=0, 0, G986/H986)</f>
        <v/>
      </c>
      <c r="J986">
        <f>RANK(I986, I$2:I$1111, 0)</f>
        <v/>
      </c>
      <c r="K986">
        <f>SUM(C986)</f>
        <v/>
      </c>
      <c r="L986">
        <f>SUM(K986,D986)</f>
        <v/>
      </c>
      <c r="M986">
        <f>SUM(L986,E986,F986)</f>
        <v/>
      </c>
      <c r="N986">
        <f>IF(L986=0, -1, K986/L986)</f>
        <v/>
      </c>
      <c r="O986">
        <f>IF(M986=0, -1, K986/M986)</f>
        <v/>
      </c>
      <c r="P986">
        <f>IF(M986=0, -1, L986/M986)</f>
        <v/>
      </c>
    </row>
    <row r="987">
      <c r="A987" t="inlineStr">
        <is>
          <t>RC01119</t>
        </is>
      </c>
      <c r="B987" t="inlineStr">
        <is>
          <t>豫北医学院</t>
        </is>
      </c>
      <c r="C987" t="n">
        <v>0</v>
      </c>
      <c r="D987" t="n">
        <v>0</v>
      </c>
      <c r="E987" t="n">
        <v>0</v>
      </c>
      <c r="F987" t="n">
        <v>8</v>
      </c>
      <c r="G987" t="n">
        <v>11956.29752766406</v>
      </c>
      <c r="H987" t="n">
        <v>35.10242463847859</v>
      </c>
      <c r="I987">
        <f>IF(H987=0, 0, G987/H987)</f>
        <v/>
      </c>
      <c r="J987">
        <f>RANK(I987, I$2:I$1111, 0)</f>
        <v/>
      </c>
      <c r="K987">
        <f>SUM(C987)</f>
        <v/>
      </c>
      <c r="L987">
        <f>SUM(K987,D987)</f>
        <v/>
      </c>
      <c r="M987">
        <f>SUM(L987,E987,F987)</f>
        <v/>
      </c>
      <c r="N987">
        <f>IF(L987=0, -1, K987/L987)</f>
        <v/>
      </c>
      <c r="O987">
        <f>IF(M987=0, -1, K987/M987)</f>
        <v/>
      </c>
      <c r="P987">
        <f>IF(M987=0, -1, L987/M987)</f>
        <v/>
      </c>
    </row>
    <row r="988">
      <c r="A988" t="inlineStr">
        <is>
          <t>RC01057</t>
        </is>
      </c>
      <c r="B988" t="inlineStr">
        <is>
          <t>温州医科大学仁济学院</t>
        </is>
      </c>
      <c r="C988" t="n">
        <v>0</v>
      </c>
      <c r="D988" t="n">
        <v>0</v>
      </c>
      <c r="E988" t="n">
        <v>0</v>
      </c>
      <c r="F988" t="n">
        <v>3</v>
      </c>
      <c r="G988" t="n">
        <v>3961.839139252839</v>
      </c>
      <c r="H988" t="n">
        <v>12.99157108715431</v>
      </c>
      <c r="I988">
        <f>IF(H988=0, 0, G988/H988)</f>
        <v/>
      </c>
      <c r="J988">
        <f>RANK(I988, I$2:I$1111, 0)</f>
        <v/>
      </c>
      <c r="K988">
        <f>SUM(C988)</f>
        <v/>
      </c>
      <c r="L988">
        <f>SUM(K988,D988)</f>
        <v/>
      </c>
      <c r="M988">
        <f>SUM(L988,E988,F988)</f>
        <v/>
      </c>
      <c r="N988">
        <f>IF(L988=0, -1, K988/L988)</f>
        <v/>
      </c>
      <c r="O988">
        <f>IF(M988=0, -1, K988/M988)</f>
        <v/>
      </c>
      <c r="P988">
        <f>IF(M988=0, -1, L988/M988)</f>
        <v/>
      </c>
    </row>
    <row r="989">
      <c r="A989" t="inlineStr">
        <is>
          <t>RC00836</t>
        </is>
      </c>
      <c r="B989" t="inlineStr">
        <is>
          <t>辽宁何氏医学院</t>
        </is>
      </c>
      <c r="C989" t="n">
        <v>0</v>
      </c>
      <c r="D989" t="n">
        <v>0</v>
      </c>
      <c r="E989" t="n">
        <v>0</v>
      </c>
      <c r="F989" t="n">
        <v>1</v>
      </c>
      <c r="G989" t="n">
        <v>1011.205594862672</v>
      </c>
      <c r="H989" t="n">
        <v>3.218875824868201</v>
      </c>
      <c r="I989">
        <f>IF(H989=0, 0, G989/H989)</f>
        <v/>
      </c>
      <c r="J989">
        <f>RANK(I989, I$2:I$1111, 0)</f>
        <v/>
      </c>
      <c r="K989">
        <f>SUM(C989)</f>
        <v/>
      </c>
      <c r="L989">
        <f>SUM(K989,D989)</f>
        <v/>
      </c>
      <c r="M989">
        <f>SUM(L989,E989,F989)</f>
        <v/>
      </c>
      <c r="N989">
        <f>IF(L989=0, -1, K989/L989)</f>
        <v/>
      </c>
      <c r="O989">
        <f>IF(M989=0, -1, K989/M989)</f>
        <v/>
      </c>
      <c r="P989">
        <f>IF(M989=0, -1, L989/M989)</f>
        <v/>
      </c>
    </row>
    <row r="990">
      <c r="A990" t="inlineStr">
        <is>
          <t>RC00886</t>
        </is>
      </c>
      <c r="B990" t="inlineStr">
        <is>
          <t>齐鲁医药学院</t>
        </is>
      </c>
      <c r="C990" t="n">
        <v>0</v>
      </c>
      <c r="D990" t="n">
        <v>0</v>
      </c>
      <c r="E990" t="n">
        <v>0</v>
      </c>
      <c r="F990" t="n">
        <v>2</v>
      </c>
      <c r="G990" t="n">
        <v>2464.124802197365</v>
      </c>
      <c r="H990" t="n">
        <v>6.13122648948314</v>
      </c>
      <c r="I990">
        <f>IF(H990=0, 0, G990/H990)</f>
        <v/>
      </c>
      <c r="J990">
        <f>RANK(I990, I$2:I$1111, 0)</f>
        <v/>
      </c>
      <c r="K990">
        <f>SUM(C990)</f>
        <v/>
      </c>
      <c r="L990">
        <f>SUM(K990,D990)</f>
        <v/>
      </c>
      <c r="M990">
        <f>SUM(L990,E990,F990)</f>
        <v/>
      </c>
      <c r="N990">
        <f>IF(L990=0, -1, K990/L990)</f>
        <v/>
      </c>
      <c r="O990">
        <f>IF(M990=0, -1, K990/M990)</f>
        <v/>
      </c>
      <c r="P990">
        <f>IF(M990=0, -1, L990/M990)</f>
        <v/>
      </c>
    </row>
    <row r="991">
      <c r="A991" t="inlineStr">
        <is>
          <t>RC01073</t>
        </is>
      </c>
      <c r="B991" t="inlineStr">
        <is>
          <t>安徽医科大学临床医学院</t>
        </is>
      </c>
      <c r="C991" t="n">
        <v>0</v>
      </c>
      <c r="D991" t="n">
        <v>0</v>
      </c>
      <c r="E991" t="n">
        <v>1</v>
      </c>
      <c r="F991" t="n">
        <v>0</v>
      </c>
      <c r="G991" t="n">
        <v>425.4723155490717</v>
      </c>
      <c r="H991" t="n">
        <v>1.945910149055313</v>
      </c>
      <c r="I991">
        <f>IF(H991=0, 0, G991/H991)</f>
        <v/>
      </c>
      <c r="J991">
        <f>RANK(I991, I$2:I$1111, 0)</f>
        <v/>
      </c>
      <c r="K991">
        <f>SUM(C991)</f>
        <v/>
      </c>
      <c r="L991">
        <f>SUM(K991,D991)</f>
        <v/>
      </c>
      <c r="M991">
        <f>SUM(L991,E991,F991)</f>
        <v/>
      </c>
      <c r="N991">
        <f>IF(L991=0, -1, K991/L991)</f>
        <v/>
      </c>
      <c r="O991">
        <f>IF(M991=0, -1, K991/M991)</f>
        <v/>
      </c>
      <c r="P991">
        <f>IF(M991=0, -1, L991/M991)</f>
        <v/>
      </c>
    </row>
    <row r="992">
      <c r="A992" t="inlineStr">
        <is>
          <t>RC00869</t>
        </is>
      </c>
      <c r="B992" t="inlineStr">
        <is>
          <t>宁波财经学院</t>
        </is>
      </c>
      <c r="C992" t="n">
        <v>0</v>
      </c>
      <c r="D992" t="n">
        <v>0</v>
      </c>
      <c r="E992" t="n">
        <v>2</v>
      </c>
      <c r="F992" t="n">
        <v>6</v>
      </c>
      <c r="G992" t="n">
        <v>10707.82105598692</v>
      </c>
      <c r="H992" t="n">
        <v>40.53115772281345</v>
      </c>
      <c r="I992">
        <f>IF(H992=0, 0, G992/H992)</f>
        <v/>
      </c>
      <c r="J992">
        <f>RANK(I992, I$2:I$1111, 0)</f>
        <v/>
      </c>
      <c r="K992">
        <f>SUM(C992)</f>
        <v/>
      </c>
      <c r="L992">
        <f>SUM(K992,D992)</f>
        <v/>
      </c>
      <c r="M992">
        <f>SUM(L992,E992,F992)</f>
        <v/>
      </c>
      <c r="N992">
        <f>IF(L992=0, -1, K992/L992)</f>
        <v/>
      </c>
      <c r="O992">
        <f>IF(M992=0, -1, K992/M992)</f>
        <v/>
      </c>
      <c r="P992">
        <f>IF(M992=0, -1, L992/M992)</f>
        <v/>
      </c>
    </row>
    <row r="993">
      <c r="A993" t="inlineStr">
        <is>
          <t>RC00976</t>
        </is>
      </c>
      <c r="B993" t="inlineStr">
        <is>
          <t>河北工程大学科信学院</t>
        </is>
      </c>
      <c r="C993" t="n">
        <v>0</v>
      </c>
      <c r="D993" t="n">
        <v>0</v>
      </c>
      <c r="E993" t="n">
        <v>0</v>
      </c>
      <c r="F993" t="n">
        <v>1</v>
      </c>
      <c r="G993" t="n">
        <v>1252.473218009772</v>
      </c>
      <c r="H993" t="n">
        <v>5.41610040220442</v>
      </c>
      <c r="I993">
        <f>IF(H993=0, 0, G993/H993)</f>
        <v/>
      </c>
      <c r="J993">
        <f>RANK(I993, I$2:I$1111, 0)</f>
        <v/>
      </c>
      <c r="K993">
        <f>SUM(C993)</f>
        <v/>
      </c>
      <c r="L993">
        <f>SUM(K993,D993)</f>
        <v/>
      </c>
      <c r="M993">
        <f>SUM(L993,E993,F993)</f>
        <v/>
      </c>
      <c r="N993">
        <f>IF(L993=0, -1, K993/L993)</f>
        <v/>
      </c>
      <c r="O993">
        <f>IF(M993=0, -1, K993/M993)</f>
        <v/>
      </c>
      <c r="P993">
        <f>IF(M993=0, -1, L993/M993)</f>
        <v/>
      </c>
    </row>
    <row r="994">
      <c r="A994" t="inlineStr">
        <is>
          <t>RC01001</t>
        </is>
      </c>
      <c r="B994" t="inlineStr">
        <is>
          <t>内蒙古鸿德文理学院</t>
        </is>
      </c>
      <c r="C994" t="n">
        <v>0</v>
      </c>
      <c r="D994" t="n">
        <v>0</v>
      </c>
      <c r="E994" t="n">
        <v>0</v>
      </c>
      <c r="F994" t="n">
        <v>6</v>
      </c>
      <c r="G994" t="n">
        <v>9096.679940914095</v>
      </c>
      <c r="H994" t="n">
        <v>25.22919816549295</v>
      </c>
      <c r="I994">
        <f>IF(H994=0, 0, G994/H994)</f>
        <v/>
      </c>
      <c r="J994">
        <f>RANK(I994, I$2:I$1111, 0)</f>
        <v/>
      </c>
      <c r="K994">
        <f>SUM(C994)</f>
        <v/>
      </c>
      <c r="L994">
        <f>SUM(K994,D994)</f>
        <v/>
      </c>
      <c r="M994">
        <f>SUM(L994,E994,F994)</f>
        <v/>
      </c>
      <c r="N994">
        <f>IF(L994=0, -1, K994/L994)</f>
        <v/>
      </c>
      <c r="O994">
        <f>IF(M994=0, -1, K994/M994)</f>
        <v/>
      </c>
      <c r="P994">
        <f>IF(M994=0, -1, L994/M994)</f>
        <v/>
      </c>
    </row>
    <row r="995">
      <c r="A995" t="inlineStr">
        <is>
          <t>RC01201</t>
        </is>
      </c>
      <c r="B995" t="inlineStr">
        <is>
          <t>西南交通大学希望学院</t>
        </is>
      </c>
      <c r="C995" t="n">
        <v>0</v>
      </c>
      <c r="D995" t="n">
        <v>0</v>
      </c>
      <c r="E995" t="n">
        <v>0</v>
      </c>
      <c r="F995" t="n">
        <v>2</v>
      </c>
      <c r="G995" t="n">
        <v>2456.091811839739</v>
      </c>
      <c r="H995" t="n">
        <v>9.574983485564092</v>
      </c>
      <c r="I995">
        <f>IF(H995=0, 0, G995/H995)</f>
        <v/>
      </c>
      <c r="J995">
        <f>RANK(I995, I$2:I$1111, 0)</f>
        <v/>
      </c>
      <c r="K995">
        <f>SUM(C995)</f>
        <v/>
      </c>
      <c r="L995">
        <f>SUM(K995,D995)</f>
        <v/>
      </c>
      <c r="M995">
        <f>SUM(L995,E995,F995)</f>
        <v/>
      </c>
      <c r="N995">
        <f>IF(L995=0, -1, K995/L995)</f>
        <v/>
      </c>
      <c r="O995">
        <f>IF(M995=0, -1, K995/M995)</f>
        <v/>
      </c>
      <c r="P995">
        <f>IF(M995=0, -1, L995/M995)</f>
        <v/>
      </c>
    </row>
    <row r="996">
      <c r="A996" t="inlineStr">
        <is>
          <t>RC01180</t>
        </is>
      </c>
      <c r="B996" t="inlineStr">
        <is>
          <t>柳州工学院</t>
        </is>
      </c>
      <c r="C996" t="n">
        <v>0</v>
      </c>
      <c r="D996" t="n">
        <v>0</v>
      </c>
      <c r="E996" t="n">
        <v>0</v>
      </c>
      <c r="F996" t="n">
        <v>1</v>
      </c>
      <c r="G996" t="n">
        <v>482.317590146975</v>
      </c>
      <c r="H996" t="n">
        <v>3.295836866004329</v>
      </c>
      <c r="I996">
        <f>IF(H996=0, 0, G996/H996)</f>
        <v/>
      </c>
      <c r="J996">
        <f>RANK(I996, I$2:I$1111, 0)</f>
        <v/>
      </c>
      <c r="K996">
        <f>SUM(C996)</f>
        <v/>
      </c>
      <c r="L996">
        <f>SUM(K996,D996)</f>
        <v/>
      </c>
      <c r="M996">
        <f>SUM(L996,E996,F996)</f>
        <v/>
      </c>
      <c r="N996">
        <f>IF(L996=0, -1, K996/L996)</f>
        <v/>
      </c>
      <c r="O996">
        <f>IF(M996=0, -1, K996/M996)</f>
        <v/>
      </c>
      <c r="P996">
        <f>IF(M996=0, -1, L996/M996)</f>
        <v/>
      </c>
    </row>
    <row r="997">
      <c r="A997" t="inlineStr">
        <is>
          <t>RC00843</t>
        </is>
      </c>
      <c r="B997" t="inlineStr">
        <is>
          <t>长春建筑学院</t>
        </is>
      </c>
      <c r="C997" t="n">
        <v>0</v>
      </c>
      <c r="D997" t="n">
        <v>0</v>
      </c>
      <c r="E997" t="n">
        <v>0</v>
      </c>
      <c r="F997" t="n">
        <v>2</v>
      </c>
      <c r="G997" t="n">
        <v>2075.267273965705</v>
      </c>
      <c r="H997" t="n">
        <v>9.289798293310898</v>
      </c>
      <c r="I997">
        <f>IF(H997=0, 0, G997/H997)</f>
        <v/>
      </c>
      <c r="J997">
        <f>RANK(I997, I$2:I$1111, 0)</f>
        <v/>
      </c>
      <c r="K997">
        <f>SUM(C997)</f>
        <v/>
      </c>
      <c r="L997">
        <f>SUM(K997,D997)</f>
        <v/>
      </c>
      <c r="M997">
        <f>SUM(L997,E997,F997)</f>
        <v/>
      </c>
      <c r="N997">
        <f>IF(L997=0, -1, K997/L997)</f>
        <v/>
      </c>
      <c r="O997">
        <f>IF(M997=0, -1, K997/M997)</f>
        <v/>
      </c>
      <c r="P997">
        <f>IF(M997=0, -1, L997/M997)</f>
        <v/>
      </c>
    </row>
    <row r="998">
      <c r="A998" t="inlineStr">
        <is>
          <t>RC01208</t>
        </is>
      </c>
      <c r="B998" t="inlineStr">
        <is>
          <t>贵阳人文科技学院</t>
        </is>
      </c>
      <c r="C998" t="n">
        <v>0</v>
      </c>
      <c r="D998" t="n">
        <v>0</v>
      </c>
      <c r="E998" t="n">
        <v>0</v>
      </c>
      <c r="F998" t="n">
        <v>1</v>
      </c>
      <c r="G998" t="n">
        <v>352.4628543381741</v>
      </c>
      <c r="H998" t="n">
        <v>3.295836866004329</v>
      </c>
      <c r="I998">
        <f>IF(H998=0, 0, G998/H998)</f>
        <v/>
      </c>
      <c r="J998">
        <f>RANK(I998, I$2:I$1111, 0)</f>
        <v/>
      </c>
      <c r="K998">
        <f>SUM(C998)</f>
        <v/>
      </c>
      <c r="L998">
        <f>SUM(K998,D998)</f>
        <v/>
      </c>
      <c r="M998">
        <f>SUM(L998,E998,F998)</f>
        <v/>
      </c>
      <c r="N998">
        <f>IF(L998=0, -1, K998/L998)</f>
        <v/>
      </c>
      <c r="O998">
        <f>IF(M998=0, -1, K998/M998)</f>
        <v/>
      </c>
      <c r="P998">
        <f>IF(M998=0, -1, L998/M998)</f>
        <v/>
      </c>
    </row>
    <row r="999">
      <c r="A999" t="inlineStr">
        <is>
          <t>RC01091</t>
        </is>
      </c>
      <c r="B999" t="inlineStr">
        <is>
          <t>江西农业大学南昌商学院</t>
        </is>
      </c>
      <c r="C999" t="n">
        <v>0</v>
      </c>
      <c r="D999" t="n">
        <v>0</v>
      </c>
      <c r="E999" t="n">
        <v>0</v>
      </c>
      <c r="F999" t="n">
        <v>1</v>
      </c>
      <c r="G999" t="n">
        <v>1816.847797550651</v>
      </c>
      <c r="H999" t="n">
        <v>4.990432586778736</v>
      </c>
      <c r="I999">
        <f>IF(H999=0, 0, G999/H999)</f>
        <v/>
      </c>
      <c r="J999">
        <f>RANK(I999, I$2:I$1111, 0)</f>
        <v/>
      </c>
      <c r="K999">
        <f>SUM(C999)</f>
        <v/>
      </c>
      <c r="L999">
        <f>SUM(K999,D999)</f>
        <v/>
      </c>
      <c r="M999">
        <f>SUM(L999,E999,F999)</f>
        <v/>
      </c>
      <c r="N999">
        <f>IF(L999=0, -1, K999/L999)</f>
        <v/>
      </c>
      <c r="O999">
        <f>IF(M999=0, -1, K999/M999)</f>
        <v/>
      </c>
      <c r="P999">
        <f>IF(M999=0, -1, L999/M999)</f>
        <v/>
      </c>
    </row>
    <row r="1000">
      <c r="A1000" t="inlineStr">
        <is>
          <t>RC00908</t>
        </is>
      </c>
      <c r="B1000" t="inlineStr">
        <is>
          <t>武昌理工学院</t>
        </is>
      </c>
      <c r="C1000" t="n">
        <v>0</v>
      </c>
      <c r="D1000" t="n">
        <v>0</v>
      </c>
      <c r="E1000" t="n">
        <v>1</v>
      </c>
      <c r="F1000" t="n">
        <v>7</v>
      </c>
      <c r="G1000" t="n">
        <v>12376.2321598515</v>
      </c>
      <c r="H1000" t="n">
        <v>39.57954242223731</v>
      </c>
      <c r="I1000">
        <f>IF(H1000=0, 0, G1000/H1000)</f>
        <v/>
      </c>
      <c r="J1000">
        <f>RANK(I1000, I$2:I$1111, 0)</f>
        <v/>
      </c>
      <c r="K1000">
        <f>SUM(C1000)</f>
        <v/>
      </c>
      <c r="L1000">
        <f>SUM(K1000,D1000)</f>
        <v/>
      </c>
      <c r="M1000">
        <f>SUM(L1000,E1000,F1000)</f>
        <v/>
      </c>
      <c r="N1000">
        <f>IF(L1000=0, -1, K1000/L1000)</f>
        <v/>
      </c>
      <c r="O1000">
        <f>IF(M1000=0, -1, K1000/M1000)</f>
        <v/>
      </c>
      <c r="P1000">
        <f>IF(M1000=0, -1, L1000/M1000)</f>
        <v/>
      </c>
    </row>
    <row r="1001">
      <c r="A1001" t="inlineStr">
        <is>
          <t>RC01081</t>
        </is>
      </c>
      <c r="B1001" t="inlineStr">
        <is>
          <t>厦门大学嘉庚学院</t>
        </is>
      </c>
      <c r="C1001" t="n">
        <v>0</v>
      </c>
      <c r="D1001" t="n">
        <v>0</v>
      </c>
      <c r="E1001" t="n">
        <v>0</v>
      </c>
      <c r="F1001" t="n">
        <v>7</v>
      </c>
      <c r="G1001" t="n">
        <v>11420.48114649096</v>
      </c>
      <c r="H1001" t="n">
        <v>38.78699760764326</v>
      </c>
      <c r="I1001">
        <f>IF(H1001=0, 0, G1001/H1001)</f>
        <v/>
      </c>
      <c r="J1001">
        <f>RANK(I1001, I$2:I$1111, 0)</f>
        <v/>
      </c>
      <c r="K1001">
        <f>SUM(C1001)</f>
        <v/>
      </c>
      <c r="L1001">
        <f>SUM(K1001,D1001)</f>
        <v/>
      </c>
      <c r="M1001">
        <f>SUM(L1001,E1001,F1001)</f>
        <v/>
      </c>
      <c r="N1001">
        <f>IF(L1001=0, -1, K1001/L1001)</f>
        <v/>
      </c>
      <c r="O1001">
        <f>IF(M1001=0, -1, K1001/M1001)</f>
        <v/>
      </c>
      <c r="P1001">
        <f>IF(M1001=0, -1, L1001/M1001)</f>
        <v/>
      </c>
    </row>
    <row r="1002">
      <c r="A1002" t="inlineStr">
        <is>
          <t>RC00903</t>
        </is>
      </c>
      <c r="B1002" t="inlineStr">
        <is>
          <t>商丘学院</t>
        </is>
      </c>
      <c r="C1002" t="n">
        <v>0</v>
      </c>
      <c r="D1002" t="n">
        <v>0</v>
      </c>
      <c r="E1002" t="n">
        <v>0</v>
      </c>
      <c r="F1002" t="n">
        <v>1</v>
      </c>
      <c r="G1002" t="n">
        <v>1769.656945666218</v>
      </c>
      <c r="H1002" t="n">
        <v>4.990432586778736</v>
      </c>
      <c r="I1002">
        <f>IF(H1002=0, 0, G1002/H1002)</f>
        <v/>
      </c>
      <c r="J1002">
        <f>RANK(I1002, I$2:I$1111, 0)</f>
        <v/>
      </c>
      <c r="K1002">
        <f>SUM(C1002)</f>
        <v/>
      </c>
      <c r="L1002">
        <f>SUM(K1002,D1002)</f>
        <v/>
      </c>
      <c r="M1002">
        <f>SUM(L1002,E1002,F1002)</f>
        <v/>
      </c>
      <c r="N1002">
        <f>IF(L1002=0, -1, K1002/L1002)</f>
        <v/>
      </c>
      <c r="O1002">
        <f>IF(M1002=0, -1, K1002/M1002)</f>
        <v/>
      </c>
      <c r="P1002">
        <f>IF(M1002=0, -1, L1002/M1002)</f>
        <v/>
      </c>
    </row>
    <row r="1003">
      <c r="A1003" t="inlineStr">
        <is>
          <t>RC00319</t>
        </is>
      </c>
      <c r="B1003" t="inlineStr">
        <is>
          <t>绥化学院</t>
        </is>
      </c>
      <c r="C1003" t="n">
        <v>0</v>
      </c>
      <c r="D1003" t="n">
        <v>0</v>
      </c>
      <c r="E1003" t="n">
        <v>0</v>
      </c>
      <c r="F1003" t="n">
        <v>2</v>
      </c>
      <c r="G1003" t="n">
        <v>3170.04616518297</v>
      </c>
      <c r="H1003" t="n">
        <v>10.54339217170035</v>
      </c>
      <c r="I1003">
        <f>IF(H1003=0, 0, G1003/H1003)</f>
        <v/>
      </c>
      <c r="J1003">
        <f>RANK(I1003, I$2:I$1111, 0)</f>
        <v/>
      </c>
      <c r="K1003">
        <f>SUM(C1003)</f>
        <v/>
      </c>
      <c r="L1003">
        <f>SUM(K1003,D1003)</f>
        <v/>
      </c>
      <c r="M1003">
        <f>SUM(L1003,E1003,F1003)</f>
        <v/>
      </c>
      <c r="N1003">
        <f>IF(L1003=0, -1, K1003/L1003)</f>
        <v/>
      </c>
      <c r="O1003">
        <f>IF(M1003=0, -1, K1003/M1003)</f>
        <v/>
      </c>
      <c r="P1003">
        <f>IF(M1003=0, -1, L1003/M1003)</f>
        <v/>
      </c>
    </row>
    <row r="1004">
      <c r="A1004" t="inlineStr">
        <is>
          <t>RC01121</t>
        </is>
      </c>
      <c r="B1004" t="inlineStr">
        <is>
          <t>信阳学院</t>
        </is>
      </c>
      <c r="C1004" t="n">
        <v>0</v>
      </c>
      <c r="D1004" t="n">
        <v>0</v>
      </c>
      <c r="E1004" t="n">
        <v>0</v>
      </c>
      <c r="F1004" t="n">
        <v>1</v>
      </c>
      <c r="G1004" t="n">
        <v>1722.466093781786</v>
      </c>
      <c r="H1004" t="n">
        <v>4.990432586778736</v>
      </c>
      <c r="I1004">
        <f>IF(H1004=0, 0, G1004/H1004)</f>
        <v/>
      </c>
      <c r="J1004">
        <f>RANK(I1004, I$2:I$1111, 0)</f>
        <v/>
      </c>
      <c r="K1004">
        <f>SUM(C1004)</f>
        <v/>
      </c>
      <c r="L1004">
        <f>SUM(K1004,D1004)</f>
        <v/>
      </c>
      <c r="M1004">
        <f>SUM(L1004,E1004,F1004)</f>
        <v/>
      </c>
      <c r="N1004">
        <f>IF(L1004=0, -1, K1004/L1004)</f>
        <v/>
      </c>
      <c r="O1004">
        <f>IF(M1004=0, -1, K1004/M1004)</f>
        <v/>
      </c>
      <c r="P1004">
        <f>IF(M1004=0, -1, L1004/M1004)</f>
        <v/>
      </c>
    </row>
    <row r="1005">
      <c r="A1005" t="inlineStr">
        <is>
          <t>RC01044</t>
        </is>
      </c>
      <c r="B1005" t="inlineStr">
        <is>
          <t>江苏科技大学苏州理工学院</t>
        </is>
      </c>
      <c r="C1005" t="n">
        <v>0</v>
      </c>
      <c r="D1005" t="n">
        <v>0</v>
      </c>
      <c r="E1005" t="n">
        <v>0</v>
      </c>
      <c r="F1005" t="n">
        <v>1</v>
      </c>
      <c r="G1005" t="n">
        <v>1651.679815955137</v>
      </c>
      <c r="H1005" t="n">
        <v>4.990432586778736</v>
      </c>
      <c r="I1005">
        <f>IF(H1005=0, 0, G1005/H1005)</f>
        <v/>
      </c>
      <c r="J1005">
        <f>RANK(I1005, I$2:I$1111, 0)</f>
        <v/>
      </c>
      <c r="K1005">
        <f>SUM(C1005)</f>
        <v/>
      </c>
      <c r="L1005">
        <f>SUM(K1005,D1005)</f>
        <v/>
      </c>
      <c r="M1005">
        <f>SUM(L1005,E1005,F1005)</f>
        <v/>
      </c>
      <c r="N1005">
        <f>IF(L1005=0, -1, K1005/L1005)</f>
        <v/>
      </c>
      <c r="O1005">
        <f>IF(M1005=0, -1, K1005/M1005)</f>
        <v/>
      </c>
      <c r="P1005">
        <f>IF(M1005=0, -1, L1005/M1005)</f>
        <v/>
      </c>
    </row>
    <row r="1006">
      <c r="A1006" t="inlineStr">
        <is>
          <t>RC00943</t>
        </is>
      </c>
      <c r="B1006" t="inlineStr">
        <is>
          <t>西安培华学院</t>
        </is>
      </c>
      <c r="C1006" t="n">
        <v>0</v>
      </c>
      <c r="D1006" t="n">
        <v>0</v>
      </c>
      <c r="E1006" t="n">
        <v>0</v>
      </c>
      <c r="F1006" t="n">
        <v>3</v>
      </c>
      <c r="G1006" t="n">
        <v>4781.380494243646</v>
      </c>
      <c r="H1006" t="n">
        <v>15.39542243561997</v>
      </c>
      <c r="I1006">
        <f>IF(H1006=0, 0, G1006/H1006)</f>
        <v/>
      </c>
      <c r="J1006">
        <f>RANK(I1006, I$2:I$1111, 0)</f>
        <v/>
      </c>
      <c r="K1006">
        <f>SUM(C1006)</f>
        <v/>
      </c>
      <c r="L1006">
        <f>SUM(K1006,D1006)</f>
        <v/>
      </c>
      <c r="M1006">
        <f>SUM(L1006,E1006,F1006)</f>
        <v/>
      </c>
      <c r="N1006">
        <f>IF(L1006=0, -1, K1006/L1006)</f>
        <v/>
      </c>
      <c r="O1006">
        <f>IF(M1006=0, -1, K1006/M1006)</f>
        <v/>
      </c>
      <c r="P1006">
        <f>IF(M1006=0, -1, L1006/M1006)</f>
        <v/>
      </c>
    </row>
    <row r="1007">
      <c r="A1007" t="inlineStr">
        <is>
          <t>RC01117</t>
        </is>
      </c>
      <c r="B1007" t="inlineStr">
        <is>
          <t>安阳学院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3414.111448548699</v>
      </c>
      <c r="H1007" t="n">
        <v>10.17221613707082</v>
      </c>
      <c r="I1007">
        <f>IF(H1007=0, 0, G1007/H1007)</f>
        <v/>
      </c>
      <c r="J1007">
        <f>RANK(I1007, I$2:I$1111, 0)</f>
        <v/>
      </c>
      <c r="K1007">
        <f>SUM(C1007)</f>
        <v/>
      </c>
      <c r="L1007">
        <f>SUM(K1007,D1007)</f>
        <v/>
      </c>
      <c r="M1007">
        <f>SUM(L1007,E1007,F1007)</f>
        <v/>
      </c>
      <c r="N1007">
        <f>IF(L1007=0, -1, K1007/L1007)</f>
        <v/>
      </c>
      <c r="O1007">
        <f>IF(M1007=0, -1, K1007/M1007)</f>
        <v/>
      </c>
      <c r="P1007">
        <f>IF(M1007=0, -1, L1007/M1007)</f>
        <v/>
      </c>
    </row>
    <row r="1008">
      <c r="A1008" t="inlineStr">
        <is>
          <t>RC01045</t>
        </is>
      </c>
      <c r="B1008" t="inlineStr">
        <is>
          <t>常州大学怀德学院</t>
        </is>
      </c>
      <c r="C1008" t="n">
        <v>0</v>
      </c>
      <c r="D1008" t="n">
        <v>0</v>
      </c>
      <c r="E1008" t="n">
        <v>0</v>
      </c>
      <c r="F1008" t="n">
        <v>2</v>
      </c>
      <c r="G1008" t="n">
        <v>3280.202678156729</v>
      </c>
      <c r="H1008" t="n">
        <v>11.35795444875907</v>
      </c>
      <c r="I1008">
        <f>IF(H1008=0, 0, G1008/H1008)</f>
        <v/>
      </c>
      <c r="J1008">
        <f>RANK(I1008, I$2:I$1111, 0)</f>
        <v/>
      </c>
      <c r="K1008">
        <f>SUM(C1008)</f>
        <v/>
      </c>
      <c r="L1008">
        <f>SUM(K1008,D1008)</f>
        <v/>
      </c>
      <c r="M1008">
        <f>SUM(L1008,E1008,F1008)</f>
        <v/>
      </c>
      <c r="N1008">
        <f>IF(L1008=0, -1, K1008/L1008)</f>
        <v/>
      </c>
      <c r="O1008">
        <f>IF(M1008=0, -1, K1008/M1008)</f>
        <v/>
      </c>
      <c r="P1008">
        <f>IF(M1008=0, -1, L1008/M1008)</f>
        <v/>
      </c>
    </row>
    <row r="1009">
      <c r="A1009" t="inlineStr">
        <is>
          <t>RC00842</t>
        </is>
      </c>
      <c r="B1009" t="inlineStr">
        <is>
          <t>长春财经学院</t>
        </is>
      </c>
      <c r="C1009" t="n">
        <v>0</v>
      </c>
      <c r="D1009" t="n">
        <v>0</v>
      </c>
      <c r="E1009" t="n">
        <v>0</v>
      </c>
      <c r="F1009" t="n">
        <v>1</v>
      </c>
      <c r="G1009" t="n">
        <v>1337.023272248645</v>
      </c>
      <c r="H1009" t="n">
        <v>5.860786223465865</v>
      </c>
      <c r="I1009">
        <f>IF(H1009=0, 0, G1009/H1009)</f>
        <v/>
      </c>
      <c r="J1009">
        <f>RANK(I1009, I$2:I$1111, 0)</f>
        <v/>
      </c>
      <c r="K1009">
        <f>SUM(C1009)</f>
        <v/>
      </c>
      <c r="L1009">
        <f>SUM(K1009,D1009)</f>
        <v/>
      </c>
      <c r="M1009">
        <f>SUM(L1009,E1009,F1009)</f>
        <v/>
      </c>
      <c r="N1009">
        <f>IF(L1009=0, -1, K1009/L1009)</f>
        <v/>
      </c>
      <c r="O1009">
        <f>IF(M1009=0, -1, K1009/M1009)</f>
        <v/>
      </c>
      <c r="P1009">
        <f>IF(M1009=0, -1, L1009/M1009)</f>
        <v/>
      </c>
    </row>
    <row r="1010">
      <c r="A1010" t="inlineStr">
        <is>
          <t>RC00456</t>
        </is>
      </c>
      <c r="B1010" t="inlineStr">
        <is>
          <t>萍乡学院</t>
        </is>
      </c>
      <c r="C1010" t="n">
        <v>0</v>
      </c>
      <c r="D1010" t="n">
        <v>0</v>
      </c>
      <c r="E1010" t="n">
        <v>0</v>
      </c>
      <c r="F1010" t="n">
        <v>3</v>
      </c>
      <c r="G1010" t="n">
        <v>4635.245899694561</v>
      </c>
      <c r="H1010" t="n">
        <v>14.59179963873543</v>
      </c>
      <c r="I1010">
        <f>IF(H1010=0, 0, G1010/H1010)</f>
        <v/>
      </c>
      <c r="J1010">
        <f>RANK(I1010, I$2:I$1111, 0)</f>
        <v/>
      </c>
      <c r="K1010">
        <f>SUM(C1010)</f>
        <v/>
      </c>
      <c r="L1010">
        <f>SUM(K1010,D1010)</f>
        <v/>
      </c>
      <c r="M1010">
        <f>SUM(L1010,E1010,F1010)</f>
        <v/>
      </c>
      <c r="N1010">
        <f>IF(L1010=0, -1, K1010/L1010)</f>
        <v/>
      </c>
      <c r="O1010">
        <f>IF(M1010=0, -1, K1010/M1010)</f>
        <v/>
      </c>
      <c r="P1010">
        <f>IF(M1010=0, -1, L1010/M1010)</f>
        <v/>
      </c>
    </row>
    <row r="1011">
      <c r="A1011" t="inlineStr">
        <is>
          <t>RC00959</t>
        </is>
      </c>
      <c r="B1011" t="inlineStr">
        <is>
          <t>茅台学院</t>
        </is>
      </c>
      <c r="C1011" t="n">
        <v>0</v>
      </c>
      <c r="D1011" t="n">
        <v>0</v>
      </c>
      <c r="E1011" t="n">
        <v>0</v>
      </c>
      <c r="F1011" t="n">
        <v>2</v>
      </c>
      <c r="G1011" t="n">
        <v>2878.456088803354</v>
      </c>
      <c r="H1011" t="n">
        <v>10.60571835182911</v>
      </c>
      <c r="I1011">
        <f>IF(H1011=0, 0, G1011/H1011)</f>
        <v/>
      </c>
      <c r="J1011">
        <f>RANK(I1011, I$2:I$1111, 0)</f>
        <v/>
      </c>
      <c r="K1011">
        <f>SUM(C1011)</f>
        <v/>
      </c>
      <c r="L1011">
        <f>SUM(K1011,D1011)</f>
        <v/>
      </c>
      <c r="M1011">
        <f>SUM(L1011,E1011,F1011)</f>
        <v/>
      </c>
      <c r="N1011">
        <f>IF(L1011=0, -1, K1011/L1011)</f>
        <v/>
      </c>
      <c r="O1011">
        <f>IF(M1011=0, -1, K1011/M1011)</f>
        <v/>
      </c>
      <c r="P1011">
        <f>IF(M1011=0, -1, L1011/M1011)</f>
        <v/>
      </c>
    </row>
    <row r="1012">
      <c r="A1012" t="inlineStr">
        <is>
          <t>RC01064</t>
        </is>
      </c>
      <c r="B1012" t="inlineStr">
        <is>
          <t>中国计量大学现代科技学院</t>
        </is>
      </c>
      <c r="C1012" t="n">
        <v>0</v>
      </c>
      <c r="D1012" t="n">
        <v>0</v>
      </c>
      <c r="E1012" t="n">
        <v>0</v>
      </c>
      <c r="F1012" t="n">
        <v>1</v>
      </c>
      <c r="G1012" t="n">
        <v>1296.812046015603</v>
      </c>
      <c r="H1012" t="n">
        <v>5.860786223465865</v>
      </c>
      <c r="I1012">
        <f>IF(H1012=0, 0, G1012/H1012)</f>
        <v/>
      </c>
      <c r="J1012">
        <f>RANK(I1012, I$2:I$1111, 0)</f>
        <v/>
      </c>
      <c r="K1012">
        <f>SUM(C1012)</f>
        <v/>
      </c>
      <c r="L1012">
        <f>SUM(K1012,D1012)</f>
        <v/>
      </c>
      <c r="M1012">
        <f>SUM(L1012,E1012,F1012)</f>
        <v/>
      </c>
      <c r="N1012">
        <f>IF(L1012=0, -1, K1012/L1012)</f>
        <v/>
      </c>
      <c r="O1012">
        <f>IF(M1012=0, -1, K1012/M1012)</f>
        <v/>
      </c>
      <c r="P1012">
        <f>IF(M1012=0, -1, L1012/M1012)</f>
        <v/>
      </c>
    </row>
    <row r="1013">
      <c r="A1013" t="inlineStr">
        <is>
          <t>RC00993</t>
        </is>
      </c>
      <c r="B1013" t="inlineStr">
        <is>
          <t>山西工学院</t>
        </is>
      </c>
      <c r="C1013" t="n">
        <v>0</v>
      </c>
      <c r="D1013" t="n">
        <v>0</v>
      </c>
      <c r="E1013" t="n">
        <v>0</v>
      </c>
      <c r="F1013" t="n">
        <v>1</v>
      </c>
      <c r="G1013" t="n">
        <v>1266.653626340822</v>
      </c>
      <c r="H1013" t="n">
        <v>5.860786223465865</v>
      </c>
      <c r="I1013">
        <f>IF(H1013=0, 0, G1013/H1013)</f>
        <v/>
      </c>
      <c r="J1013">
        <f>RANK(I1013, I$2:I$1111, 0)</f>
        <v/>
      </c>
      <c r="K1013">
        <f>SUM(C1013)</f>
        <v/>
      </c>
      <c r="L1013">
        <f>SUM(K1013,D1013)</f>
        <v/>
      </c>
      <c r="M1013">
        <f>SUM(L1013,E1013,F1013)</f>
        <v/>
      </c>
      <c r="N1013">
        <f>IF(L1013=0, -1, K1013/L1013)</f>
        <v/>
      </c>
      <c r="O1013">
        <f>IF(M1013=0, -1, K1013/M1013)</f>
        <v/>
      </c>
      <c r="P1013">
        <f>IF(M1013=0, -1, L1013/M1013)</f>
        <v/>
      </c>
    </row>
    <row r="1014">
      <c r="A1014" t="inlineStr">
        <is>
          <t>RC01154</t>
        </is>
      </c>
      <c r="B1014" t="inlineStr">
        <is>
          <t>南华大学船山学院</t>
        </is>
      </c>
      <c r="C1014" t="n">
        <v>0</v>
      </c>
      <c r="D1014" t="n">
        <v>0</v>
      </c>
      <c r="E1014" t="n">
        <v>0</v>
      </c>
      <c r="F1014" t="n">
        <v>1</v>
      </c>
      <c r="G1014" t="n">
        <v>1236.49520666604</v>
      </c>
      <c r="H1014" t="n">
        <v>5.860786223465865</v>
      </c>
      <c r="I1014">
        <f>IF(H1014=0, 0, G1014/H1014)</f>
        <v/>
      </c>
      <c r="J1014">
        <f>RANK(I1014, I$2:I$1111, 0)</f>
        <v/>
      </c>
      <c r="K1014">
        <f>SUM(C1014)</f>
        <v/>
      </c>
      <c r="L1014">
        <f>SUM(K1014,D1014)</f>
        <v/>
      </c>
      <c r="M1014">
        <f>SUM(L1014,E1014,F1014)</f>
        <v/>
      </c>
      <c r="N1014">
        <f>IF(L1014=0, -1, K1014/L1014)</f>
        <v/>
      </c>
      <c r="O1014">
        <f>IF(M1014=0, -1, K1014/M1014)</f>
        <v/>
      </c>
      <c r="P1014">
        <f>IF(M1014=0, -1, L1014/M1014)</f>
        <v/>
      </c>
    </row>
    <row r="1015">
      <c r="A1015" t="inlineStr">
        <is>
          <t>RC01056</t>
        </is>
      </c>
      <c r="B1015" t="inlineStr">
        <is>
          <t>浙江农林大学暨阳学院</t>
        </is>
      </c>
      <c r="C1015" t="n">
        <v>0</v>
      </c>
      <c r="D1015" t="n">
        <v>0</v>
      </c>
      <c r="E1015" t="n">
        <v>0</v>
      </c>
      <c r="F1015" t="n">
        <v>4</v>
      </c>
      <c r="G1015" t="n">
        <v>5879.367321366016</v>
      </c>
      <c r="H1015" t="n">
        <v>22.68921748392571</v>
      </c>
      <c r="I1015">
        <f>IF(H1015=0, 0, G1015/H1015)</f>
        <v/>
      </c>
      <c r="J1015">
        <f>RANK(I1015, I$2:I$1111, 0)</f>
        <v/>
      </c>
      <c r="K1015">
        <f>SUM(C1015)</f>
        <v/>
      </c>
      <c r="L1015">
        <f>SUM(K1015,D1015)</f>
        <v/>
      </c>
      <c r="M1015">
        <f>SUM(L1015,E1015,F1015)</f>
        <v/>
      </c>
      <c r="N1015">
        <f>IF(L1015=0, -1, K1015/L1015)</f>
        <v/>
      </c>
      <c r="O1015">
        <f>IF(M1015=0, -1, K1015/M1015)</f>
        <v/>
      </c>
      <c r="P1015">
        <f>IF(M1015=0, -1, L1015/M1015)</f>
        <v/>
      </c>
    </row>
    <row r="1016">
      <c r="A1016" t="inlineStr">
        <is>
          <t>RC01239</t>
        </is>
      </c>
      <c r="B1016" t="inlineStr">
        <is>
          <t>新疆科技学院</t>
        </is>
      </c>
      <c r="C1016" t="n">
        <v>0</v>
      </c>
      <c r="D1016" t="n">
        <v>0</v>
      </c>
      <c r="E1016" t="n">
        <v>0</v>
      </c>
      <c r="F1016" t="n">
        <v>3</v>
      </c>
      <c r="G1016" t="n">
        <v>4467.232439451507</v>
      </c>
      <c r="H1016" t="n">
        <v>14.48599486461987</v>
      </c>
      <c r="I1016">
        <f>IF(H1016=0, 0, G1016/H1016)</f>
        <v/>
      </c>
      <c r="J1016">
        <f>RANK(I1016, I$2:I$1111, 0)</f>
        <v/>
      </c>
      <c r="K1016">
        <f>SUM(C1016)</f>
        <v/>
      </c>
      <c r="L1016">
        <f>SUM(K1016,D1016)</f>
        <v/>
      </c>
      <c r="M1016">
        <f>SUM(L1016,E1016,F1016)</f>
        <v/>
      </c>
      <c r="N1016">
        <f>IF(L1016=0, -1, K1016/L1016)</f>
        <v/>
      </c>
      <c r="O1016">
        <f>IF(M1016=0, -1, K1016/M1016)</f>
        <v/>
      </c>
      <c r="P1016">
        <f>IF(M1016=0, -1, L1016/M1016)</f>
        <v/>
      </c>
    </row>
    <row r="1017">
      <c r="A1017" t="inlineStr">
        <is>
          <t>RC00987</t>
        </is>
      </c>
      <c r="B1017" t="inlineStr">
        <is>
          <t>河北农业大学现代科技学院</t>
        </is>
      </c>
      <c r="C1017" t="n">
        <v>0</v>
      </c>
      <c r="D1017" t="n">
        <v>0</v>
      </c>
      <c r="E1017" t="n">
        <v>0</v>
      </c>
      <c r="F1017" t="n">
        <v>1</v>
      </c>
      <c r="G1017" t="n">
        <v>1740.683014711817</v>
      </c>
      <c r="H1017" t="n">
        <v>5.908082938168931</v>
      </c>
      <c r="I1017">
        <f>IF(H1017=0, 0, G1017/H1017)</f>
        <v/>
      </c>
      <c r="J1017">
        <f>RANK(I1017, I$2:I$1111, 0)</f>
        <v/>
      </c>
      <c r="K1017">
        <f>SUM(C1017)</f>
        <v/>
      </c>
      <c r="L1017">
        <f>SUM(K1017,D1017)</f>
        <v/>
      </c>
      <c r="M1017">
        <f>SUM(L1017,E1017,F1017)</f>
        <v/>
      </c>
      <c r="N1017">
        <f>IF(L1017=0, -1, K1017/L1017)</f>
        <v/>
      </c>
      <c r="O1017">
        <f>IF(M1017=0, -1, K1017/M1017)</f>
        <v/>
      </c>
      <c r="P1017">
        <f>IF(M1017=0, -1, L1017/M1017)</f>
        <v/>
      </c>
    </row>
    <row r="1018">
      <c r="A1018" t="inlineStr">
        <is>
          <t>RC01050</t>
        </is>
      </c>
      <c r="B1018" t="inlineStr">
        <is>
          <t>浙江工业大学之江学院</t>
        </is>
      </c>
      <c r="C1018" t="n">
        <v>0</v>
      </c>
      <c r="D1018" t="n">
        <v>0</v>
      </c>
      <c r="E1018" t="n">
        <v>0</v>
      </c>
      <c r="F1018" t="n">
        <v>1</v>
      </c>
      <c r="G1018" t="n">
        <v>1638.289896199357</v>
      </c>
      <c r="H1018" t="n">
        <v>5.908082938168931</v>
      </c>
      <c r="I1018">
        <f>IF(H1018=0, 0, G1018/H1018)</f>
        <v/>
      </c>
      <c r="J1018">
        <f>RANK(I1018, I$2:I$1111, 0)</f>
        <v/>
      </c>
      <c r="K1018">
        <f>SUM(C1018)</f>
        <v/>
      </c>
      <c r="L1018">
        <f>SUM(K1018,D1018)</f>
        <v/>
      </c>
      <c r="M1018">
        <f>SUM(L1018,E1018,F1018)</f>
        <v/>
      </c>
      <c r="N1018">
        <f>IF(L1018=0, -1, K1018/L1018)</f>
        <v/>
      </c>
      <c r="O1018">
        <f>IF(M1018=0, -1, K1018/M1018)</f>
        <v/>
      </c>
      <c r="P1018">
        <f>IF(M1018=0, -1, L1018/M1018)</f>
        <v/>
      </c>
    </row>
    <row r="1019">
      <c r="A1019" t="inlineStr">
        <is>
          <t>RC01075</t>
        </is>
      </c>
      <c r="B1019" t="inlineStr">
        <is>
          <t>蚌埠工商学院</t>
        </is>
      </c>
      <c r="C1019" t="n">
        <v>0</v>
      </c>
      <c r="D1019" t="n">
        <v>0</v>
      </c>
      <c r="E1019" t="n">
        <v>0</v>
      </c>
      <c r="F1019" t="n">
        <v>1</v>
      </c>
      <c r="G1019" t="n">
        <v>1244.511899675632</v>
      </c>
      <c r="H1019" t="n">
        <v>5.442417710521793</v>
      </c>
      <c r="I1019">
        <f>IF(H1019=0, 0, G1019/H1019)</f>
        <v/>
      </c>
      <c r="J1019">
        <f>RANK(I1019, I$2:I$1111, 0)</f>
        <v/>
      </c>
      <c r="K1019">
        <f>SUM(C1019)</f>
        <v/>
      </c>
      <c r="L1019">
        <f>SUM(K1019,D1019)</f>
        <v/>
      </c>
      <c r="M1019">
        <f>SUM(L1019,E1019,F1019)</f>
        <v/>
      </c>
      <c r="N1019">
        <f>IF(L1019=0, -1, K1019/L1019)</f>
        <v/>
      </c>
      <c r="O1019">
        <f>IF(M1019=0, -1, K1019/M1019)</f>
        <v/>
      </c>
      <c r="P1019">
        <f>IF(M1019=0, -1, L1019/M1019)</f>
        <v/>
      </c>
    </row>
    <row r="1020">
      <c r="A1020" t="inlineStr">
        <is>
          <t>RC01029</t>
        </is>
      </c>
      <c r="B1020" t="inlineStr">
        <is>
          <t>南京理工大学泰州科技学院</t>
        </is>
      </c>
      <c r="C1020" t="n">
        <v>0</v>
      </c>
      <c r="D1020" t="n">
        <v>0</v>
      </c>
      <c r="E1020" t="n">
        <v>0</v>
      </c>
      <c r="F1020" t="n">
        <v>1</v>
      </c>
      <c r="G1020" t="n">
        <v>1262.060230070077</v>
      </c>
      <c r="H1020" t="n">
        <v>4.762173934797756</v>
      </c>
      <c r="I1020">
        <f>IF(H1020=0, 0, G1020/H1020)</f>
        <v/>
      </c>
      <c r="J1020">
        <f>RANK(I1020, I$2:I$1111, 0)</f>
        <v/>
      </c>
      <c r="K1020">
        <f>SUM(C1020)</f>
        <v/>
      </c>
      <c r="L1020">
        <f>SUM(K1020,D1020)</f>
        <v/>
      </c>
      <c r="M1020">
        <f>SUM(L1020,E1020,F1020)</f>
        <v/>
      </c>
      <c r="N1020">
        <f>IF(L1020=0, -1, K1020/L1020)</f>
        <v/>
      </c>
      <c r="O1020">
        <f>IF(M1020=0, -1, K1020/M1020)</f>
        <v/>
      </c>
      <c r="P1020">
        <f>IF(M1020=0, -1, L1020/M1020)</f>
        <v/>
      </c>
    </row>
    <row r="1021">
      <c r="A1021" t="inlineStr">
        <is>
          <t>RC00151</t>
        </is>
      </c>
      <c r="B1021" t="inlineStr">
        <is>
          <t>中国戏曲学院</t>
        </is>
      </c>
      <c r="C1021" t="n">
        <v>0</v>
      </c>
      <c r="D1021" t="n">
        <v>4</v>
      </c>
      <c r="E1021" t="n">
        <v>8</v>
      </c>
      <c r="F1021" t="n">
        <v>2</v>
      </c>
      <c r="G1021" t="n">
        <v>37628.11095891342</v>
      </c>
      <c r="H1021" t="n">
        <v>60.40121647289384</v>
      </c>
      <c r="I1021">
        <f>IF(H1021=0, 0, G1021/H1021)</f>
        <v/>
      </c>
      <c r="J1021">
        <f>RANK(I1021, I$2:I$1111, 0)</f>
        <v/>
      </c>
      <c r="K1021">
        <f>SUM(C1021)</f>
        <v/>
      </c>
      <c r="L1021">
        <f>SUM(K1021,D1021)</f>
        <v/>
      </c>
      <c r="M1021">
        <f>SUM(L1021,E1021,F1021)</f>
        <v/>
      </c>
      <c r="N1021">
        <f>IF(L1021=0, -1, K1021/L1021)</f>
        <v/>
      </c>
      <c r="O1021">
        <f>IF(M1021=0, -1, K1021/M1021)</f>
        <v/>
      </c>
      <c r="P1021">
        <f>IF(M1021=0, -1, L1021/M1021)</f>
        <v/>
      </c>
    </row>
    <row r="1022">
      <c r="A1022" t="inlineStr">
        <is>
          <t>RC00489</t>
        </is>
      </c>
      <c r="B1022" t="inlineStr">
        <is>
          <t>山东艺术学院</t>
        </is>
      </c>
      <c r="C1022" t="n">
        <v>3</v>
      </c>
      <c r="D1022" t="n">
        <v>13</v>
      </c>
      <c r="E1022" t="n">
        <v>12</v>
      </c>
      <c r="F1022" t="n">
        <v>7</v>
      </c>
      <c r="G1022" t="n">
        <v>85810.41607981754</v>
      </c>
      <c r="H1022" t="n">
        <v>138.8458942232809</v>
      </c>
      <c r="I1022">
        <f>IF(H1022=0, 0, G1022/H1022)</f>
        <v/>
      </c>
      <c r="J1022">
        <f>RANK(I1022, I$2:I$1111, 0)</f>
        <v/>
      </c>
      <c r="K1022">
        <f>SUM(C1022)</f>
        <v/>
      </c>
      <c r="L1022">
        <f>SUM(K1022,D1022)</f>
        <v/>
      </c>
      <c r="M1022">
        <f>SUM(L1022,E1022,F1022)</f>
        <v/>
      </c>
      <c r="N1022">
        <f>IF(L1022=0, -1, K1022/L1022)</f>
        <v/>
      </c>
      <c r="O1022">
        <f>IF(M1022=0, -1, K1022/M1022)</f>
        <v/>
      </c>
      <c r="P1022">
        <f>IF(M1022=0, -1, L1022/M1022)</f>
        <v/>
      </c>
    </row>
    <row r="1023">
      <c r="A1023" t="inlineStr">
        <is>
          <t>RC00791</t>
        </is>
      </c>
      <c r="B1023" t="inlineStr">
        <is>
          <t>内蒙古艺术学院</t>
        </is>
      </c>
      <c r="C1023" t="n">
        <v>0</v>
      </c>
      <c r="D1023" t="n">
        <v>4</v>
      </c>
      <c r="E1023" t="n">
        <v>11</v>
      </c>
      <c r="F1023" t="n">
        <v>8</v>
      </c>
      <c r="G1023" t="n">
        <v>51711.15308618471</v>
      </c>
      <c r="H1023" t="n">
        <v>107.2649487690473</v>
      </c>
      <c r="I1023">
        <f>IF(H1023=0, 0, G1023/H1023)</f>
        <v/>
      </c>
      <c r="J1023">
        <f>RANK(I1023, I$2:I$1111, 0)</f>
        <v/>
      </c>
      <c r="K1023">
        <f>SUM(C1023)</f>
        <v/>
      </c>
      <c r="L1023">
        <f>SUM(K1023,D1023)</f>
        <v/>
      </c>
      <c r="M1023">
        <f>SUM(L1023,E1023,F1023)</f>
        <v/>
      </c>
      <c r="N1023">
        <f>IF(L1023=0, -1, K1023/L1023)</f>
        <v/>
      </c>
      <c r="O1023">
        <f>IF(M1023=0, -1, K1023/M1023)</f>
        <v/>
      </c>
      <c r="P1023">
        <f>IF(M1023=0, -1, L1023/M1023)</f>
        <v/>
      </c>
    </row>
    <row r="1024">
      <c r="A1024" t="inlineStr">
        <is>
          <t>RC00786</t>
        </is>
      </c>
      <c r="B1024" t="inlineStr">
        <is>
          <t>新疆艺术学院</t>
        </is>
      </c>
      <c r="C1024" t="n">
        <v>0</v>
      </c>
      <c r="D1024" t="n">
        <v>0</v>
      </c>
      <c r="E1024" t="n">
        <v>9</v>
      </c>
      <c r="F1024" t="n">
        <v>11</v>
      </c>
      <c r="G1024" t="n">
        <v>39513.99037193118</v>
      </c>
      <c r="H1024" t="n">
        <v>95.25091749228122</v>
      </c>
      <c r="I1024">
        <f>IF(H1024=0, 0, G1024/H1024)</f>
        <v/>
      </c>
      <c r="J1024">
        <f>RANK(I1024, I$2:I$1111, 0)</f>
        <v/>
      </c>
      <c r="K1024">
        <f>SUM(C1024)</f>
        <v/>
      </c>
      <c r="L1024">
        <f>SUM(K1024,D1024)</f>
        <v/>
      </c>
      <c r="M1024">
        <f>SUM(L1024,E1024,F1024)</f>
        <v/>
      </c>
      <c r="N1024">
        <f>IF(L1024=0, -1, K1024/L1024)</f>
        <v/>
      </c>
      <c r="O1024">
        <f>IF(M1024=0, -1, K1024/M1024)</f>
        <v/>
      </c>
      <c r="P1024">
        <f>IF(M1024=0, -1, L1024/M1024)</f>
        <v/>
      </c>
    </row>
    <row r="1025">
      <c r="A1025" t="inlineStr">
        <is>
          <t>RC01206</t>
        </is>
      </c>
      <c r="B1025" t="inlineStr">
        <is>
          <t>贵州中医药大学时珍学院</t>
        </is>
      </c>
      <c r="C1025" t="n">
        <v>0</v>
      </c>
      <c r="D1025" t="n">
        <v>0</v>
      </c>
      <c r="E1025" t="n">
        <v>0</v>
      </c>
      <c r="F1025" t="n">
        <v>1</v>
      </c>
      <c r="G1025" t="n">
        <v>449.004093133839</v>
      </c>
      <c r="H1025" t="n">
        <v>2.302585092994046</v>
      </c>
      <c r="I1025">
        <f>IF(H1025=0, 0, G1025/H1025)</f>
        <v/>
      </c>
      <c r="J1025">
        <f>RANK(I1025, I$2:I$1111, 0)</f>
        <v/>
      </c>
      <c r="K1025">
        <f>SUM(C1025)</f>
        <v/>
      </c>
      <c r="L1025">
        <f>SUM(K1025,D1025)</f>
        <v/>
      </c>
      <c r="M1025">
        <f>SUM(L1025,E1025,F1025)</f>
        <v/>
      </c>
      <c r="N1025">
        <f>IF(L1025=0, -1, K1025/L1025)</f>
        <v/>
      </c>
      <c r="O1025">
        <f>IF(M1025=0, -1, K1025/M1025)</f>
        <v/>
      </c>
      <c r="P1025">
        <f>IF(M1025=0, -1, L1025/M1025)</f>
        <v/>
      </c>
    </row>
    <row r="1026">
      <c r="A1026" t="inlineStr">
        <is>
          <t>RC01205</t>
        </is>
      </c>
      <c r="B1026" t="inlineStr">
        <is>
          <t>遵义医科大学医学与科技学院</t>
        </is>
      </c>
      <c r="C1026" t="n">
        <v>0</v>
      </c>
      <c r="D1026" t="n">
        <v>0</v>
      </c>
      <c r="E1026" t="n">
        <v>0</v>
      </c>
      <c r="F1026" t="n">
        <v>1</v>
      </c>
      <c r="G1026" t="n">
        <v>1104.814339111512</v>
      </c>
      <c r="H1026" t="n">
        <v>3.13549421592915</v>
      </c>
      <c r="I1026">
        <f>IF(H1026=0, 0, G1026/H1026)</f>
        <v/>
      </c>
      <c r="J1026">
        <f>RANK(I1026, I$2:I$1111, 0)</f>
        <v/>
      </c>
      <c r="K1026">
        <f>SUM(C1026)</f>
        <v/>
      </c>
      <c r="L1026">
        <f>SUM(K1026,D1026)</f>
        <v/>
      </c>
      <c r="M1026">
        <f>SUM(L1026,E1026,F1026)</f>
        <v/>
      </c>
      <c r="N1026">
        <f>IF(L1026=0, -1, K1026/L1026)</f>
        <v/>
      </c>
      <c r="O1026">
        <f>IF(M1026=0, -1, K1026/M1026)</f>
        <v/>
      </c>
      <c r="P1026">
        <f>IF(M1026=0, -1, L1026/M1026)</f>
        <v/>
      </c>
    </row>
    <row r="1027">
      <c r="A1027" t="inlineStr">
        <is>
          <t>RC01088</t>
        </is>
      </c>
      <c r="B1027" t="inlineStr">
        <is>
          <t>福州大学至诚学院</t>
        </is>
      </c>
      <c r="C1027" t="n">
        <v>0</v>
      </c>
      <c r="D1027" t="n">
        <v>0</v>
      </c>
      <c r="E1027" t="n">
        <v>0</v>
      </c>
      <c r="F1027" t="n">
        <v>1</v>
      </c>
      <c r="G1027" t="n">
        <v>1743.004559239308</v>
      </c>
      <c r="H1027" t="n">
        <v>5.497168225293202</v>
      </c>
      <c r="I1027">
        <f>IF(H1027=0, 0, G1027/H1027)</f>
        <v/>
      </c>
      <c r="J1027">
        <f>RANK(I1027, I$2:I$1111, 0)</f>
        <v/>
      </c>
      <c r="K1027">
        <f>SUM(C1027)</f>
        <v/>
      </c>
      <c r="L1027">
        <f>SUM(K1027,D1027)</f>
        <v/>
      </c>
      <c r="M1027">
        <f>SUM(L1027,E1027,F1027)</f>
        <v/>
      </c>
      <c r="N1027">
        <f>IF(L1027=0, -1, K1027/L1027)</f>
        <v/>
      </c>
      <c r="O1027">
        <f>IF(M1027=0, -1, K1027/M1027)</f>
        <v/>
      </c>
      <c r="P1027">
        <f>IF(M1027=0, -1, L1027/M1027)</f>
        <v/>
      </c>
    </row>
    <row r="1028">
      <c r="A1028" t="inlineStr">
        <is>
          <t>RC01038</t>
        </is>
      </c>
      <c r="B1028" t="inlineStr">
        <is>
          <t>苏州科技大学天平学院</t>
        </is>
      </c>
      <c r="C1028" t="n">
        <v>0</v>
      </c>
      <c r="D1028" t="n">
        <v>0</v>
      </c>
      <c r="E1028" t="n">
        <v>0</v>
      </c>
      <c r="F1028" t="n">
        <v>1</v>
      </c>
      <c r="G1028" t="n">
        <v>1694.249186952894</v>
      </c>
      <c r="H1028" t="n">
        <v>5.497168225293202</v>
      </c>
      <c r="I1028">
        <f>IF(H1028=0, 0, G1028/H1028)</f>
        <v/>
      </c>
      <c r="J1028">
        <f>RANK(I1028, I$2:I$1111, 0)</f>
        <v/>
      </c>
      <c r="K1028">
        <f>SUM(C1028)</f>
        <v/>
      </c>
      <c r="L1028">
        <f>SUM(K1028,D1028)</f>
        <v/>
      </c>
      <c r="M1028">
        <f>SUM(L1028,E1028,F1028)</f>
        <v/>
      </c>
      <c r="N1028">
        <f>IF(L1028=0, -1, K1028/L1028)</f>
        <v/>
      </c>
      <c r="O1028">
        <f>IF(M1028=0, -1, K1028/M1028)</f>
        <v/>
      </c>
      <c r="P1028">
        <f>IF(M1028=0, -1, L1028/M1028)</f>
        <v/>
      </c>
    </row>
    <row r="1029">
      <c r="A1029" t="inlineStr">
        <is>
          <t>RC00954</t>
        </is>
      </c>
      <c r="B1029" t="inlineStr">
        <is>
          <t>厦门华厦学院</t>
        </is>
      </c>
      <c r="C1029" t="n">
        <v>0</v>
      </c>
      <c r="D1029" t="n">
        <v>0</v>
      </c>
      <c r="E1029" t="n">
        <v>0</v>
      </c>
      <c r="F1029" t="n">
        <v>1</v>
      </c>
      <c r="G1029" t="n">
        <v>1367.30402740592</v>
      </c>
      <c r="H1029" t="n">
        <v>4.158883083359671</v>
      </c>
      <c r="I1029">
        <f>IF(H1029=0, 0, G1029/H1029)</f>
        <v/>
      </c>
      <c r="J1029">
        <f>RANK(I1029, I$2:I$1111, 0)</f>
        <v/>
      </c>
      <c r="K1029">
        <f>SUM(C1029)</f>
        <v/>
      </c>
      <c r="L1029">
        <f>SUM(K1029,D1029)</f>
        <v/>
      </c>
      <c r="M1029">
        <f>SUM(L1029,E1029,F1029)</f>
        <v/>
      </c>
      <c r="N1029">
        <f>IF(L1029=0, -1, K1029/L1029)</f>
        <v/>
      </c>
      <c r="O1029">
        <f>IF(M1029=0, -1, K1029/M1029)</f>
        <v/>
      </c>
      <c r="P1029">
        <f>IF(M1029=0, -1, L1029/M1029)</f>
        <v/>
      </c>
    </row>
    <row r="1030">
      <c r="A1030" t="inlineStr">
        <is>
          <t>RC01234</t>
        </is>
      </c>
      <c r="B1030" t="inlineStr">
        <is>
          <t>宁夏大学新华学院</t>
        </is>
      </c>
      <c r="C1030" t="n">
        <v>0</v>
      </c>
      <c r="D1030" t="n">
        <v>0</v>
      </c>
      <c r="E1030" t="n">
        <v>0</v>
      </c>
      <c r="F1030" t="n">
        <v>1</v>
      </c>
      <c r="G1030" t="n">
        <v>1530.867282829419</v>
      </c>
      <c r="H1030" t="n">
        <v>5.552959584921617</v>
      </c>
      <c r="I1030">
        <f>IF(H1030=0, 0, G1030/H1030)</f>
        <v/>
      </c>
      <c r="J1030">
        <f>RANK(I1030, I$2:I$1111, 0)</f>
        <v/>
      </c>
      <c r="K1030">
        <f>SUM(C1030)</f>
        <v/>
      </c>
      <c r="L1030">
        <f>SUM(K1030,D1030)</f>
        <v/>
      </c>
      <c r="M1030">
        <f>SUM(L1030,E1030,F1030)</f>
        <v/>
      </c>
      <c r="N1030">
        <f>IF(L1030=0, -1, K1030/L1030)</f>
        <v/>
      </c>
      <c r="O1030">
        <f>IF(M1030=0, -1, K1030/M1030)</f>
        <v/>
      </c>
      <c r="P1030">
        <f>IF(M1030=0, -1, L1030/M1030)</f>
        <v/>
      </c>
    </row>
    <row r="1031">
      <c r="A1031" t="inlineStr">
        <is>
          <t>RC01024</t>
        </is>
      </c>
      <c r="B1031" t="inlineStr">
        <is>
          <t>中国矿业大学徐海学院</t>
        </is>
      </c>
      <c r="C1031" t="n">
        <v>0</v>
      </c>
      <c r="D1031" t="n">
        <v>0</v>
      </c>
      <c r="E1031" t="n">
        <v>0</v>
      </c>
      <c r="F1031" t="n">
        <v>1</v>
      </c>
      <c r="G1031" t="n">
        <v>1622.741763834264</v>
      </c>
      <c r="H1031" t="n">
        <v>4.158883083359671</v>
      </c>
      <c r="I1031">
        <f>IF(H1031=0, 0, G1031/H1031)</f>
        <v/>
      </c>
      <c r="J1031">
        <f>RANK(I1031, I$2:I$1111, 0)</f>
        <v/>
      </c>
      <c r="K1031">
        <f>SUM(C1031)</f>
        <v/>
      </c>
      <c r="L1031">
        <f>SUM(K1031,D1031)</f>
        <v/>
      </c>
      <c r="M1031">
        <f>SUM(L1031,E1031,F1031)</f>
        <v/>
      </c>
      <c r="N1031">
        <f>IF(L1031=0, -1, K1031/L1031)</f>
        <v/>
      </c>
      <c r="O1031">
        <f>IF(M1031=0, -1, K1031/M1031)</f>
        <v/>
      </c>
      <c r="P1031">
        <f>IF(M1031=0, -1, L1031/M1031)</f>
        <v/>
      </c>
    </row>
    <row r="1032">
      <c r="A1032" t="inlineStr">
        <is>
          <t>RC01195</t>
        </is>
      </c>
      <c r="B1032" t="inlineStr">
        <is>
          <t>成都外国语学院</t>
        </is>
      </c>
      <c r="C1032" t="n">
        <v>0</v>
      </c>
      <c r="D1032" t="n">
        <v>0</v>
      </c>
      <c r="E1032" t="n">
        <v>0</v>
      </c>
      <c r="F1032" t="n">
        <v>1</v>
      </c>
      <c r="G1032" t="n">
        <v>1195.193035638411</v>
      </c>
      <c r="H1032" t="n">
        <v>4.158883083359671</v>
      </c>
      <c r="I1032">
        <f>IF(H1032=0, 0, G1032/H1032)</f>
        <v/>
      </c>
      <c r="J1032">
        <f>RANK(I1032, I$2:I$1111, 0)</f>
        <v/>
      </c>
      <c r="K1032">
        <f>SUM(C1032)</f>
        <v/>
      </c>
      <c r="L1032">
        <f>SUM(K1032,D1032)</f>
        <v/>
      </c>
      <c r="M1032">
        <f>SUM(L1032,E1032,F1032)</f>
        <v/>
      </c>
      <c r="N1032">
        <f>IF(L1032=0, -1, K1032/L1032)</f>
        <v/>
      </c>
      <c r="O1032">
        <f>IF(M1032=0, -1, K1032/M1032)</f>
        <v/>
      </c>
      <c r="P1032">
        <f>IF(M1032=0, -1, L1032/M1032)</f>
        <v/>
      </c>
    </row>
    <row r="1033">
      <c r="A1033" t="inlineStr">
        <is>
          <t>RC00974</t>
        </is>
      </c>
      <c r="B1033" t="inlineStr">
        <is>
          <t>天津财经大学珠江学院</t>
        </is>
      </c>
      <c r="C1033" t="n">
        <v>0</v>
      </c>
      <c r="D1033" t="n">
        <v>0</v>
      </c>
      <c r="E1033" t="n">
        <v>0</v>
      </c>
      <c r="F1033" t="n">
        <v>1</v>
      </c>
      <c r="G1033" t="n">
        <v>1914.621736006224</v>
      </c>
      <c r="H1033" t="n">
        <v>4.74493212836325</v>
      </c>
      <c r="I1033">
        <f>IF(H1033=0, 0, G1033/H1033)</f>
        <v/>
      </c>
      <c r="J1033">
        <f>RANK(I1033, I$2:I$1111, 0)</f>
        <v/>
      </c>
      <c r="K1033">
        <f>SUM(C1033)</f>
        <v/>
      </c>
      <c r="L1033">
        <f>SUM(K1033,D1033)</f>
        <v/>
      </c>
      <c r="M1033">
        <f>SUM(L1033,E1033,F1033)</f>
        <v/>
      </c>
      <c r="N1033">
        <f>IF(L1033=0, -1, K1033/L1033)</f>
        <v/>
      </c>
      <c r="O1033">
        <f>IF(M1033=0, -1, K1033/M1033)</f>
        <v/>
      </c>
      <c r="P1033">
        <f>IF(M1033=0, -1, L1033/M1033)</f>
        <v/>
      </c>
    </row>
    <row r="1034">
      <c r="A1034" t="inlineStr">
        <is>
          <t>RC00713</t>
        </is>
      </c>
      <c r="B1034" t="inlineStr">
        <is>
          <t>普洱学院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1819.485252229517</v>
      </c>
      <c r="H1034" t="n">
        <v>4.74493212836325</v>
      </c>
      <c r="I1034">
        <f>IF(H1034=0, 0, G1034/H1034)</f>
        <v/>
      </c>
      <c r="J1034">
        <f>RANK(I1034, I$2:I$1111, 0)</f>
        <v/>
      </c>
      <c r="K1034">
        <f>SUM(C1034)</f>
        <v/>
      </c>
      <c r="L1034">
        <f>SUM(K1034,D1034)</f>
        <v/>
      </c>
      <c r="M1034">
        <f>SUM(L1034,E1034,F1034)</f>
        <v/>
      </c>
      <c r="N1034">
        <f>IF(L1034=0, -1, K1034/L1034)</f>
        <v/>
      </c>
      <c r="O1034">
        <f>IF(M1034=0, -1, K1034/M1034)</f>
        <v/>
      </c>
      <c r="P1034">
        <f>IF(M1034=0, -1, L1034/M1034)</f>
        <v/>
      </c>
    </row>
    <row r="1035">
      <c r="A1035" t="inlineStr">
        <is>
          <t>RC00767</t>
        </is>
      </c>
      <c r="B1035" t="inlineStr">
        <is>
          <t>甘肃民族师范学院</t>
        </is>
      </c>
      <c r="C1035" t="n">
        <v>0</v>
      </c>
      <c r="D1035" t="n">
        <v>0</v>
      </c>
      <c r="E1035" t="n">
        <v>0</v>
      </c>
      <c r="F1035" t="n">
        <v>2</v>
      </c>
      <c r="G1035" t="n">
        <v>2931.188456953755</v>
      </c>
      <c r="H1035" t="n">
        <v>8.271292652979412</v>
      </c>
      <c r="I1035">
        <f>IF(H1035=0, 0, G1035/H1035)</f>
        <v/>
      </c>
      <c r="J1035">
        <f>RANK(I1035, I$2:I$1111, 0)</f>
        <v/>
      </c>
      <c r="K1035">
        <f>SUM(C1035)</f>
        <v/>
      </c>
      <c r="L1035">
        <f>SUM(K1035,D1035)</f>
        <v/>
      </c>
      <c r="M1035">
        <f>SUM(L1035,E1035,F1035)</f>
        <v/>
      </c>
      <c r="N1035">
        <f>IF(L1035=0, -1, K1035/L1035)</f>
        <v/>
      </c>
      <c r="O1035">
        <f>IF(M1035=0, -1, K1035/M1035)</f>
        <v/>
      </c>
      <c r="P1035">
        <f>IF(M1035=0, -1, L1035/M1035)</f>
        <v/>
      </c>
    </row>
    <row r="1036">
      <c r="A1036" t="inlineStr">
        <is>
          <t>RC00834</t>
        </is>
      </c>
      <c r="B1036" t="inlineStr">
        <is>
          <t>沈阳城市学院</t>
        </is>
      </c>
      <c r="C1036" t="n">
        <v>0</v>
      </c>
      <c r="D1036" t="n">
        <v>0</v>
      </c>
      <c r="E1036" t="n">
        <v>2</v>
      </c>
      <c r="F1036" t="n">
        <v>6</v>
      </c>
      <c r="G1036" t="n">
        <v>12941.50928086043</v>
      </c>
      <c r="H1036" t="n">
        <v>34.55179634963623</v>
      </c>
      <c r="I1036">
        <f>IF(H1036=0, 0, G1036/H1036)</f>
        <v/>
      </c>
      <c r="J1036">
        <f>RANK(I1036, I$2:I$1111, 0)</f>
        <v/>
      </c>
      <c r="K1036">
        <f>SUM(C1036)</f>
        <v/>
      </c>
      <c r="L1036">
        <f>SUM(K1036,D1036)</f>
        <v/>
      </c>
      <c r="M1036">
        <f>SUM(L1036,E1036,F1036)</f>
        <v/>
      </c>
      <c r="N1036">
        <f>IF(L1036=0, -1, K1036/L1036)</f>
        <v/>
      </c>
      <c r="O1036">
        <f>IF(M1036=0, -1, K1036/M1036)</f>
        <v/>
      </c>
      <c r="P1036">
        <f>IF(M1036=0, -1, L1036/M1036)</f>
        <v/>
      </c>
    </row>
    <row r="1037">
      <c r="A1037" t="inlineStr">
        <is>
          <t>RC01212</t>
        </is>
      </c>
      <c r="B1037" t="inlineStr">
        <is>
          <t>丽江文化旅游学院</t>
        </is>
      </c>
      <c r="C1037" t="n">
        <v>0</v>
      </c>
      <c r="D1037" t="n">
        <v>0</v>
      </c>
      <c r="E1037" t="n">
        <v>0</v>
      </c>
      <c r="F1037" t="n">
        <v>1</v>
      </c>
      <c r="G1037" t="n">
        <v>1593.536103259838</v>
      </c>
      <c r="H1037" t="n">
        <v>4.74493212836325</v>
      </c>
      <c r="I1037">
        <f>IF(H1037=0, 0, G1037/H1037)</f>
        <v/>
      </c>
      <c r="J1037">
        <f>RANK(I1037, I$2:I$1111, 0)</f>
        <v/>
      </c>
      <c r="K1037">
        <f>SUM(C1037)</f>
        <v/>
      </c>
      <c r="L1037">
        <f>SUM(K1037,D1037)</f>
        <v/>
      </c>
      <c r="M1037">
        <f>SUM(L1037,E1037,F1037)</f>
        <v/>
      </c>
      <c r="N1037">
        <f>IF(L1037=0, -1, K1037/L1037)</f>
        <v/>
      </c>
      <c r="O1037">
        <f>IF(M1037=0, -1, K1037/M1037)</f>
        <v/>
      </c>
      <c r="P1037">
        <f>IF(M1037=0, -1, L1037/M1037)</f>
        <v/>
      </c>
    </row>
    <row r="1038">
      <c r="A1038" t="inlineStr">
        <is>
          <t>RC00964</t>
        </is>
      </c>
      <c r="B1038" t="inlineStr">
        <is>
          <t>北京第二外国语学院中瑞酒店管理学院</t>
        </is>
      </c>
      <c r="C1038" t="n">
        <v>0</v>
      </c>
      <c r="D1038" t="n">
        <v>0</v>
      </c>
      <c r="E1038" t="n">
        <v>0</v>
      </c>
      <c r="F1038" t="n">
        <v>1</v>
      </c>
      <c r="G1038" t="n">
        <v>1569.751982315662</v>
      </c>
      <c r="H1038" t="n">
        <v>4.74493212836325</v>
      </c>
      <c r="I1038">
        <f>IF(H1038=0, 0, G1038/H1038)</f>
        <v/>
      </c>
      <c r="J1038">
        <f>RANK(I1038, I$2:I$1111, 0)</f>
        <v/>
      </c>
      <c r="K1038">
        <f>SUM(C1038)</f>
        <v/>
      </c>
      <c r="L1038">
        <f>SUM(K1038,D1038)</f>
        <v/>
      </c>
      <c r="M1038">
        <f>SUM(L1038,E1038,F1038)</f>
        <v/>
      </c>
      <c r="N1038">
        <f>IF(L1038=0, -1, K1038/L1038)</f>
        <v/>
      </c>
      <c r="O1038">
        <f>IF(M1038=0, -1, K1038/M1038)</f>
        <v/>
      </c>
      <c r="P1038">
        <f>IF(M1038=0, -1, L1038/M1038)</f>
        <v/>
      </c>
    </row>
    <row r="1039">
      <c r="A1039" t="inlineStr">
        <is>
          <t>RC00341</t>
        </is>
      </c>
      <c r="B1039" t="inlineStr">
        <is>
          <t>上海戏剧学院</t>
        </is>
      </c>
      <c r="C1039" t="n">
        <v>9</v>
      </c>
      <c r="D1039" t="n">
        <v>2</v>
      </c>
      <c r="E1039" t="n">
        <v>5</v>
      </c>
      <c r="F1039" t="n">
        <v>1</v>
      </c>
      <c r="G1039" t="n">
        <v>48589.6410844541</v>
      </c>
      <c r="H1039" t="n">
        <v>62.85410877033028</v>
      </c>
      <c r="I1039">
        <f>IF(H1039=0, 0, G1039/H1039)</f>
        <v/>
      </c>
      <c r="J1039">
        <f>RANK(I1039, I$2:I$1111, 0)</f>
        <v/>
      </c>
      <c r="K1039">
        <f>SUM(C1039)</f>
        <v/>
      </c>
      <c r="L1039">
        <f>SUM(K1039,D1039)</f>
        <v/>
      </c>
      <c r="M1039">
        <f>SUM(L1039,E1039,F1039)</f>
        <v/>
      </c>
      <c r="N1039">
        <f>IF(L1039=0, -1, K1039/L1039)</f>
        <v/>
      </c>
      <c r="O1039">
        <f>IF(M1039=0, -1, K1039/M1039)</f>
        <v/>
      </c>
      <c r="P1039">
        <f>IF(M1039=0, -1, L1039/M1039)</f>
        <v/>
      </c>
    </row>
    <row r="1040">
      <c r="A1040" t="inlineStr">
        <is>
          <t>RC00340</t>
        </is>
      </c>
      <c r="B1040" t="inlineStr">
        <is>
          <t>上海音乐学院</t>
        </is>
      </c>
      <c r="C1040" t="n">
        <v>5</v>
      </c>
      <c r="D1040" t="n">
        <v>3</v>
      </c>
      <c r="E1040" t="n">
        <v>1</v>
      </c>
      <c r="F1040" t="n">
        <v>0</v>
      </c>
      <c r="G1040" t="n">
        <v>29174.90363041169</v>
      </c>
      <c r="H1040" t="n">
        <v>33.94646157481067</v>
      </c>
      <c r="I1040">
        <f>IF(H1040=0, 0, G1040/H1040)</f>
        <v/>
      </c>
      <c r="J1040">
        <f>RANK(I1040, I$2:I$1111, 0)</f>
        <v/>
      </c>
      <c r="K1040">
        <f>SUM(C1040)</f>
        <v/>
      </c>
      <c r="L1040">
        <f>SUM(K1040,D1040)</f>
        <v/>
      </c>
      <c r="M1040">
        <f>SUM(L1040,E1040,F1040)</f>
        <v/>
      </c>
      <c r="N1040">
        <f>IF(L1040=0, -1, K1040/L1040)</f>
        <v/>
      </c>
      <c r="O1040">
        <f>IF(M1040=0, -1, K1040/M1040)</f>
        <v/>
      </c>
      <c r="P1040">
        <f>IF(M1040=0, -1, L1040/M1040)</f>
        <v/>
      </c>
    </row>
    <row r="1041">
      <c r="A1041" t="inlineStr">
        <is>
          <t>RC00150</t>
        </is>
      </c>
      <c r="B1041" t="inlineStr">
        <is>
          <t>中央戏剧学院</t>
        </is>
      </c>
      <c r="C1041" t="n">
        <v>6</v>
      </c>
      <c r="D1041" t="n">
        <v>2</v>
      </c>
      <c r="E1041" t="n">
        <v>2</v>
      </c>
      <c r="F1041" t="n">
        <v>0</v>
      </c>
      <c r="G1041" t="n">
        <v>26127.2169518876</v>
      </c>
      <c r="H1041" t="n">
        <v>30.6416148656081</v>
      </c>
      <c r="I1041">
        <f>IF(H1041=0, 0, G1041/H1041)</f>
        <v/>
      </c>
      <c r="J1041">
        <f>RANK(I1041, I$2:I$1111, 0)</f>
        <v/>
      </c>
      <c r="K1041">
        <f>SUM(C1041)</f>
        <v/>
      </c>
      <c r="L1041">
        <f>SUM(K1041,D1041)</f>
        <v/>
      </c>
      <c r="M1041">
        <f>SUM(L1041,E1041,F1041)</f>
        <v/>
      </c>
      <c r="N1041">
        <f>IF(L1041=0, -1, K1041/L1041)</f>
        <v/>
      </c>
      <c r="O1041">
        <f>IF(M1041=0, -1, K1041/M1041)</f>
        <v/>
      </c>
      <c r="P1041">
        <f>IF(M1041=0, -1, L1041/M1041)</f>
        <v/>
      </c>
    </row>
    <row r="1042">
      <c r="A1042" t="inlineStr">
        <is>
          <t>RC00153</t>
        </is>
      </c>
      <c r="B1042" t="inlineStr">
        <is>
          <t>北京舞蹈学院</t>
        </is>
      </c>
      <c r="C1042" t="n">
        <v>4</v>
      </c>
      <c r="D1042" t="n">
        <v>0</v>
      </c>
      <c r="E1042" t="n">
        <v>2</v>
      </c>
      <c r="F1042" t="n">
        <v>0</v>
      </c>
      <c r="G1042" t="n">
        <v>19982.80153408286</v>
      </c>
      <c r="H1042" t="n">
        <v>21.8033380353829</v>
      </c>
      <c r="I1042">
        <f>IF(H1042=0, 0, G1042/H1042)</f>
        <v/>
      </c>
      <c r="J1042">
        <f>RANK(I1042, I$2:I$1111, 0)</f>
        <v/>
      </c>
      <c r="K1042">
        <f>SUM(C1042)</f>
        <v/>
      </c>
      <c r="L1042">
        <f>SUM(K1042,D1042)</f>
        <v/>
      </c>
      <c r="M1042">
        <f>SUM(L1042,E1042,F1042)</f>
        <v/>
      </c>
      <c r="N1042">
        <f>IF(L1042=0, -1, K1042/L1042)</f>
        <v/>
      </c>
      <c r="O1042">
        <f>IF(M1042=0, -1, K1042/M1042)</f>
        <v/>
      </c>
      <c r="P1042">
        <f>IF(M1042=0, -1, L1042/M1042)</f>
        <v/>
      </c>
    </row>
    <row r="1043">
      <c r="A1043" t="inlineStr">
        <is>
          <t>RC00148</t>
        </is>
      </c>
      <c r="B1043" t="inlineStr">
        <is>
          <t>中国音乐学院</t>
        </is>
      </c>
      <c r="C1043" t="n">
        <v>4</v>
      </c>
      <c r="D1043" t="n">
        <v>0</v>
      </c>
      <c r="E1043" t="n">
        <v>1</v>
      </c>
      <c r="F1043" t="n">
        <v>0</v>
      </c>
      <c r="G1043" t="n">
        <v>17790.61048940616</v>
      </c>
      <c r="H1043" t="n">
        <v>19.69398724167886</v>
      </c>
      <c r="I1043">
        <f>IF(H1043=0, 0, G1043/H1043)</f>
        <v/>
      </c>
      <c r="J1043">
        <f>RANK(I1043, I$2:I$1111, 0)</f>
        <v/>
      </c>
      <c r="K1043">
        <f>SUM(C1043)</f>
        <v/>
      </c>
      <c r="L1043">
        <f>SUM(K1043,D1043)</f>
        <v/>
      </c>
      <c r="M1043">
        <f>SUM(L1043,E1043,F1043)</f>
        <v/>
      </c>
      <c r="N1043">
        <f>IF(L1043=0, -1, K1043/L1043)</f>
        <v/>
      </c>
      <c r="O1043">
        <f>IF(M1043=0, -1, K1043/M1043)</f>
        <v/>
      </c>
      <c r="P1043">
        <f>IF(M1043=0, -1, L1043/M1043)</f>
        <v/>
      </c>
    </row>
    <row r="1044">
      <c r="A1044" t="inlineStr">
        <is>
          <t>RC00717</t>
        </is>
      </c>
      <c r="B1044" t="inlineStr">
        <is>
          <t>云南艺术学院</t>
        </is>
      </c>
      <c r="C1044" t="n">
        <v>0</v>
      </c>
      <c r="D1044" t="n">
        <v>9</v>
      </c>
      <c r="E1044" t="n">
        <v>14</v>
      </c>
      <c r="F1044" t="n">
        <v>5</v>
      </c>
      <c r="G1044" t="n">
        <v>74680.67850865939</v>
      </c>
      <c r="H1044" t="n">
        <v>116.2865814286298</v>
      </c>
      <c r="I1044">
        <f>IF(H1044=0, 0, G1044/H1044)</f>
        <v/>
      </c>
      <c r="J1044">
        <f>RANK(I1044, I$2:I$1111, 0)</f>
        <v/>
      </c>
      <c r="K1044">
        <f>SUM(C1044)</f>
        <v/>
      </c>
      <c r="L1044">
        <f>SUM(K1044,D1044)</f>
        <v/>
      </c>
      <c r="M1044">
        <f>SUM(L1044,E1044,F1044)</f>
        <v/>
      </c>
      <c r="N1044">
        <f>IF(L1044=0, -1, K1044/L1044)</f>
        <v/>
      </c>
      <c r="O1044">
        <f>IF(M1044=0, -1, K1044/M1044)</f>
        <v/>
      </c>
      <c r="P1044">
        <f>IF(M1044=0, -1, L1044/M1044)</f>
        <v/>
      </c>
    </row>
    <row r="1045">
      <c r="A1045" t="inlineStr">
        <is>
          <t>RC00605</t>
        </is>
      </c>
      <c r="B1045" t="inlineStr">
        <is>
          <t>星海音乐学院</t>
        </is>
      </c>
      <c r="C1045" t="n">
        <v>0</v>
      </c>
      <c r="D1045" t="n">
        <v>4</v>
      </c>
      <c r="E1045" t="n">
        <v>5</v>
      </c>
      <c r="F1045" t="n">
        <v>1</v>
      </c>
      <c r="G1045" t="n">
        <v>24494.32532720008</v>
      </c>
      <c r="H1045" t="n">
        <v>39.77455867932066</v>
      </c>
      <c r="I1045">
        <f>IF(H1045=0, 0, G1045/H1045)</f>
        <v/>
      </c>
      <c r="J1045">
        <f>RANK(I1045, I$2:I$1111, 0)</f>
        <v/>
      </c>
      <c r="K1045">
        <f>SUM(C1045)</f>
        <v/>
      </c>
      <c r="L1045">
        <f>SUM(K1045,D1045)</f>
        <v/>
      </c>
      <c r="M1045">
        <f>SUM(L1045,E1045,F1045)</f>
        <v/>
      </c>
      <c r="N1045">
        <f>IF(L1045=0, -1, K1045/L1045)</f>
        <v/>
      </c>
      <c r="O1045">
        <f>IF(M1045=0, -1, K1045/M1045)</f>
        <v/>
      </c>
      <c r="P1045">
        <f>IF(M1045=0, -1, L1045/M1045)</f>
        <v/>
      </c>
    </row>
    <row r="1046">
      <c r="A1046" t="inlineStr">
        <is>
          <t>RC00745</t>
        </is>
      </c>
      <c r="B1046" t="inlineStr">
        <is>
          <t>西安美术学院</t>
        </is>
      </c>
      <c r="C1046" t="n">
        <v>0</v>
      </c>
      <c r="D1046" t="n">
        <v>10</v>
      </c>
      <c r="E1046" t="n">
        <v>10</v>
      </c>
      <c r="F1046" t="n">
        <v>5</v>
      </c>
      <c r="G1046" t="n">
        <v>67042.31922113651</v>
      </c>
      <c r="H1046" t="n">
        <v>100.9322152407403</v>
      </c>
      <c r="I1046">
        <f>IF(H1046=0, 0, G1046/H1046)</f>
        <v/>
      </c>
      <c r="J1046">
        <f>RANK(I1046, I$2:I$1111, 0)</f>
        <v/>
      </c>
      <c r="K1046">
        <f>SUM(C1046)</f>
        <v/>
      </c>
      <c r="L1046">
        <f>SUM(K1046,D1046)</f>
        <v/>
      </c>
      <c r="M1046">
        <f>SUM(L1046,E1046,F1046)</f>
        <v/>
      </c>
      <c r="N1046">
        <f>IF(L1046=0, -1, K1046/L1046)</f>
        <v/>
      </c>
      <c r="O1046">
        <f>IF(M1046=0, -1, K1046/M1046)</f>
        <v/>
      </c>
      <c r="P1046">
        <f>IF(M1046=0, -1, L1046/M1046)</f>
        <v/>
      </c>
    </row>
    <row r="1047">
      <c r="A1047" t="inlineStr">
        <is>
          <t>RC00808</t>
        </is>
      </c>
      <c r="B1047" t="inlineStr">
        <is>
          <t>哈尔滨音乐学院</t>
        </is>
      </c>
      <c r="C1047" t="n">
        <v>0</v>
      </c>
      <c r="D1047" t="n">
        <v>2</v>
      </c>
      <c r="E1047" t="n">
        <v>1</v>
      </c>
      <c r="F1047" t="n">
        <v>2</v>
      </c>
      <c r="G1047" t="n">
        <v>11853.43632840576</v>
      </c>
      <c r="H1047" t="n">
        <v>21.01840619908067</v>
      </c>
      <c r="I1047">
        <f>IF(H1047=0, 0, G1047/H1047)</f>
        <v/>
      </c>
      <c r="J1047">
        <f>RANK(I1047, I$2:I$1111, 0)</f>
        <v/>
      </c>
      <c r="K1047">
        <f>SUM(C1047)</f>
        <v/>
      </c>
      <c r="L1047">
        <f>SUM(K1047,D1047)</f>
        <v/>
      </c>
      <c r="M1047">
        <f>SUM(L1047,E1047,F1047)</f>
        <v/>
      </c>
      <c r="N1047">
        <f>IF(L1047=0, -1, K1047/L1047)</f>
        <v/>
      </c>
      <c r="O1047">
        <f>IF(M1047=0, -1, K1047/M1047)</f>
        <v/>
      </c>
      <c r="P1047">
        <f>IF(M1047=0, -1, L1047/M1047)</f>
        <v/>
      </c>
    </row>
    <row r="1048">
      <c r="A1048" t="inlineStr">
        <is>
          <t>RC00297</t>
        </is>
      </c>
      <c r="B1048" t="inlineStr">
        <is>
          <t>吉林艺术学院</t>
        </is>
      </c>
      <c r="C1048" t="n">
        <v>0</v>
      </c>
      <c r="D1048" t="n">
        <v>10</v>
      </c>
      <c r="E1048" t="n">
        <v>14</v>
      </c>
      <c r="F1048" t="n">
        <v>4</v>
      </c>
      <c r="G1048" t="n">
        <v>73073.06124371561</v>
      </c>
      <c r="H1048" t="n">
        <v>123.9042048489307</v>
      </c>
      <c r="I1048">
        <f>IF(H1048=0, 0, G1048/H1048)</f>
        <v/>
      </c>
      <c r="J1048">
        <f>RANK(I1048, I$2:I$1111, 0)</f>
        <v/>
      </c>
      <c r="K1048">
        <f>SUM(C1048)</f>
        <v/>
      </c>
      <c r="L1048">
        <f>SUM(K1048,D1048)</f>
        <v/>
      </c>
      <c r="M1048">
        <f>SUM(L1048,E1048,F1048)</f>
        <v/>
      </c>
      <c r="N1048">
        <f>IF(L1048=0, -1, K1048/L1048)</f>
        <v/>
      </c>
      <c r="O1048">
        <f>IF(M1048=0, -1, K1048/M1048)</f>
        <v/>
      </c>
      <c r="P1048">
        <f>IF(M1048=0, -1, L1048/M1048)</f>
        <v/>
      </c>
    </row>
    <row r="1049">
      <c r="A1049" t="inlineStr">
        <is>
          <t>RC00744</t>
        </is>
      </c>
      <c r="B1049" t="inlineStr">
        <is>
          <t>西安音乐学院</t>
        </is>
      </c>
      <c r="C1049" t="n">
        <v>0</v>
      </c>
      <c r="D1049" t="n">
        <v>1</v>
      </c>
      <c r="E1049" t="n">
        <v>8</v>
      </c>
      <c r="F1049" t="n">
        <v>1</v>
      </c>
      <c r="G1049" t="n">
        <v>19990.15144669101</v>
      </c>
      <c r="H1049" t="n">
        <v>39.29498559905878</v>
      </c>
      <c r="I1049">
        <f>IF(H1049=0, 0, G1049/H1049)</f>
        <v/>
      </c>
      <c r="J1049">
        <f>RANK(I1049, I$2:I$1111, 0)</f>
        <v/>
      </c>
      <c r="K1049">
        <f>SUM(C1049)</f>
        <v/>
      </c>
      <c r="L1049">
        <f>SUM(K1049,D1049)</f>
        <v/>
      </c>
      <c r="M1049">
        <f>SUM(L1049,E1049,F1049)</f>
        <v/>
      </c>
      <c r="N1049">
        <f>IF(L1049=0, -1, K1049/L1049)</f>
        <v/>
      </c>
      <c r="O1049">
        <f>IF(M1049=0, -1, K1049/M1049)</f>
        <v/>
      </c>
      <c r="P1049">
        <f>IF(M1049=0, -1, L1049/M1049)</f>
        <v/>
      </c>
    </row>
    <row r="1050">
      <c r="A1050" t="inlineStr">
        <is>
          <t>RC00147</t>
        </is>
      </c>
      <c r="B1050" t="inlineStr">
        <is>
          <t>中央音乐学院</t>
        </is>
      </c>
      <c r="C1050" t="n">
        <v>3</v>
      </c>
      <c r="D1050" t="n">
        <v>0</v>
      </c>
      <c r="E1050" t="n">
        <v>0</v>
      </c>
      <c r="F1050" t="n">
        <v>0</v>
      </c>
      <c r="G1050" t="n">
        <v>13002.45630800803</v>
      </c>
      <c r="H1050" t="n">
        <v>13.43058897908724</v>
      </c>
      <c r="I1050">
        <f>IF(H1050=0, 0, G1050/H1050)</f>
        <v/>
      </c>
      <c r="J1050">
        <f>RANK(I1050, I$2:I$1111, 0)</f>
        <v/>
      </c>
      <c r="K1050">
        <f>SUM(C1050)</f>
        <v/>
      </c>
      <c r="L1050">
        <f>SUM(K1050,D1050)</f>
        <v/>
      </c>
      <c r="M1050">
        <f>SUM(L1050,E1050,F1050)</f>
        <v/>
      </c>
      <c r="N1050">
        <f>IF(L1050=0, -1, K1050/L1050)</f>
        <v/>
      </c>
      <c r="O1050">
        <f>IF(M1050=0, -1, K1050/M1050)</f>
        <v/>
      </c>
      <c r="P1050">
        <f>IF(M1050=0, -1, L1050/M1050)</f>
        <v/>
      </c>
    </row>
    <row r="1051">
      <c r="A1051" t="inlineStr">
        <is>
          <t>RC00809</t>
        </is>
      </c>
      <c r="B1051" t="inlineStr">
        <is>
          <t>浙江音乐学院</t>
        </is>
      </c>
      <c r="C1051" t="n">
        <v>3</v>
      </c>
      <c r="D1051" t="n">
        <v>5</v>
      </c>
      <c r="E1051" t="n">
        <v>0</v>
      </c>
      <c r="F1051" t="n">
        <v>0</v>
      </c>
      <c r="G1051" t="n">
        <v>27794.36927772082</v>
      </c>
      <c r="H1051" t="n">
        <v>34.98133626182963</v>
      </c>
      <c r="I1051">
        <f>IF(H1051=0, 0, G1051/H1051)</f>
        <v/>
      </c>
      <c r="J1051">
        <f>RANK(I1051, I$2:I$1111, 0)</f>
        <v/>
      </c>
      <c r="K1051">
        <f>SUM(C1051)</f>
        <v/>
      </c>
      <c r="L1051">
        <f>SUM(K1051,D1051)</f>
        <v/>
      </c>
      <c r="M1051">
        <f>SUM(L1051,E1051,F1051)</f>
        <v/>
      </c>
      <c r="N1051">
        <f>IF(L1051=0, -1, K1051/L1051)</f>
        <v/>
      </c>
      <c r="O1051">
        <f>IF(M1051=0, -1, K1051/M1051)</f>
        <v/>
      </c>
      <c r="P1051">
        <f>IF(M1051=0, -1, L1051/M1051)</f>
        <v/>
      </c>
    </row>
    <row r="1052">
      <c r="A1052" t="inlineStr">
        <is>
          <t>RC00678</t>
        </is>
      </c>
      <c r="B1052" t="inlineStr">
        <is>
          <t>四川音乐学院</t>
        </is>
      </c>
      <c r="C1052" t="n">
        <v>1</v>
      </c>
      <c r="D1052" t="n">
        <v>3</v>
      </c>
      <c r="E1052" t="n">
        <v>12</v>
      </c>
      <c r="F1052" t="n">
        <v>9</v>
      </c>
      <c r="G1052" t="n">
        <v>53225.99355563697</v>
      </c>
      <c r="H1052" t="n">
        <v>107.2995080723794</v>
      </c>
      <c r="I1052">
        <f>IF(H1052=0, 0, G1052/H1052)</f>
        <v/>
      </c>
      <c r="J1052">
        <f>RANK(I1052, I$2:I$1111, 0)</f>
        <v/>
      </c>
      <c r="K1052">
        <f>SUM(C1052)</f>
        <v/>
      </c>
      <c r="L1052">
        <f>SUM(K1052,D1052)</f>
        <v/>
      </c>
      <c r="M1052">
        <f>SUM(L1052,E1052,F1052)</f>
        <v/>
      </c>
      <c r="N1052">
        <f>IF(L1052=0, -1, K1052/L1052)</f>
        <v/>
      </c>
      <c r="O1052">
        <f>IF(M1052=0, -1, K1052/M1052)</f>
        <v/>
      </c>
      <c r="P1052">
        <f>IF(M1052=0, -1, L1052/M1052)</f>
        <v/>
      </c>
    </row>
    <row r="1053">
      <c r="A1053" t="inlineStr">
        <is>
          <t>RC00561</t>
        </is>
      </c>
      <c r="B1053" t="inlineStr">
        <is>
          <t>武汉音乐学院</t>
        </is>
      </c>
      <c r="C1053" t="n">
        <v>1</v>
      </c>
      <c r="D1053" t="n">
        <v>2</v>
      </c>
      <c r="E1053" t="n">
        <v>6</v>
      </c>
      <c r="F1053" t="n">
        <v>1</v>
      </c>
      <c r="G1053" t="n">
        <v>21834.45677092878</v>
      </c>
      <c r="H1053" t="n">
        <v>36.10142758217486</v>
      </c>
      <c r="I1053">
        <f>IF(H1053=0, 0, G1053/H1053)</f>
        <v/>
      </c>
      <c r="J1053">
        <f>RANK(I1053, I$2:I$1111, 0)</f>
        <v/>
      </c>
      <c r="K1053">
        <f>SUM(C1053)</f>
        <v/>
      </c>
      <c r="L1053">
        <f>SUM(K1053,D1053)</f>
        <v/>
      </c>
      <c r="M1053">
        <f>SUM(L1053,E1053,F1053)</f>
        <v/>
      </c>
      <c r="N1053">
        <f>IF(L1053=0, -1, K1053/L1053)</f>
        <v/>
      </c>
      <c r="O1053">
        <f>IF(M1053=0, -1, K1053/M1053)</f>
        <v/>
      </c>
      <c r="P1053">
        <f>IF(M1053=0, -1, L1053/M1053)</f>
        <v/>
      </c>
    </row>
    <row r="1054">
      <c r="A1054" t="inlineStr">
        <is>
          <t>RC00176</t>
        </is>
      </c>
      <c r="B1054" t="inlineStr">
        <is>
          <t>天津音乐学院</t>
        </is>
      </c>
      <c r="C1054" t="n">
        <v>0</v>
      </c>
      <c r="D1054" t="n">
        <v>3</v>
      </c>
      <c r="E1054" t="n">
        <v>4</v>
      </c>
      <c r="F1054" t="n">
        <v>2</v>
      </c>
      <c r="G1054" t="n">
        <v>20756.09069340553</v>
      </c>
      <c r="H1054" t="n">
        <v>37.57160342727546</v>
      </c>
      <c r="I1054">
        <f>IF(H1054=0, 0, G1054/H1054)</f>
        <v/>
      </c>
      <c r="J1054">
        <f>RANK(I1054, I$2:I$1111, 0)</f>
        <v/>
      </c>
      <c r="K1054">
        <f>SUM(C1054)</f>
        <v/>
      </c>
      <c r="L1054">
        <f>SUM(K1054,D1054)</f>
        <v/>
      </c>
      <c r="M1054">
        <f>SUM(L1054,E1054,F1054)</f>
        <v/>
      </c>
      <c r="N1054">
        <f>IF(L1054=0, -1, K1054/L1054)</f>
        <v/>
      </c>
      <c r="O1054">
        <f>IF(M1054=0, -1, K1054/M1054)</f>
        <v/>
      </c>
      <c r="P1054">
        <f>IF(M1054=0, -1, L1054/M1054)</f>
        <v/>
      </c>
    </row>
    <row r="1055">
      <c r="A1055" t="inlineStr">
        <is>
          <t>RC00271</t>
        </is>
      </c>
      <c r="B1055" t="inlineStr">
        <is>
          <t>沈阳音乐学院</t>
        </is>
      </c>
      <c r="C1055" t="n">
        <v>0</v>
      </c>
      <c r="D1055" t="n">
        <v>1</v>
      </c>
      <c r="E1055" t="n">
        <v>5</v>
      </c>
      <c r="F1055" t="n">
        <v>7</v>
      </c>
      <c r="G1055" t="n">
        <v>24124.97879476954</v>
      </c>
      <c r="H1055" t="n">
        <v>55.38920289782673</v>
      </c>
      <c r="I1055">
        <f>IF(H1055=0, 0, G1055/H1055)</f>
        <v/>
      </c>
      <c r="J1055">
        <f>RANK(I1055, I$2:I$1111, 0)</f>
        <v/>
      </c>
      <c r="K1055">
        <f>SUM(C1055)</f>
        <v/>
      </c>
      <c r="L1055">
        <f>SUM(K1055,D1055)</f>
        <v/>
      </c>
      <c r="M1055">
        <f>SUM(L1055,E1055,F1055)</f>
        <v/>
      </c>
      <c r="N1055">
        <f>IF(L1055=0, -1, K1055/L1055)</f>
        <v/>
      </c>
      <c r="O1055">
        <f>IF(M1055=0, -1, K1055/M1055)</f>
        <v/>
      </c>
      <c r="P1055">
        <f>IF(M1055=0, -1, L1055/M1055)</f>
        <v/>
      </c>
    </row>
    <row r="1056">
      <c r="A1056" t="inlineStr">
        <is>
          <t>RC00967</t>
        </is>
      </c>
      <c r="B1056" t="inlineStr">
        <is>
          <t>天津传媒学院</t>
        </is>
      </c>
      <c r="C1056" t="n">
        <v>0</v>
      </c>
      <c r="D1056" t="n">
        <v>0</v>
      </c>
      <c r="E1056" t="n">
        <v>1</v>
      </c>
      <c r="F1056" t="n">
        <v>0</v>
      </c>
      <c r="G1056" t="n">
        <v>1764.972845627326</v>
      </c>
      <c r="H1056" t="n">
        <v>4.997212273764115</v>
      </c>
      <c r="I1056">
        <f>IF(H1056=0, 0, G1056/H1056)</f>
        <v/>
      </c>
      <c r="J1056">
        <f>RANK(I1056, I$2:I$1111, 0)</f>
        <v/>
      </c>
      <c r="K1056">
        <f>SUM(C1056)</f>
        <v/>
      </c>
      <c r="L1056">
        <f>SUM(K1056,D1056)</f>
        <v/>
      </c>
      <c r="M1056">
        <f>SUM(L1056,E1056,F1056)</f>
        <v/>
      </c>
      <c r="N1056">
        <f>IF(L1056=0, -1, K1056/L1056)</f>
        <v/>
      </c>
      <c r="O1056">
        <f>IF(M1056=0, -1, K1056/M1056)</f>
        <v/>
      </c>
      <c r="P1056">
        <f>IF(M1056=0, -1, L1056/M1056)</f>
        <v/>
      </c>
    </row>
    <row r="1057">
      <c r="A1057" t="inlineStr">
        <is>
          <t>RC00835</t>
        </is>
      </c>
      <c r="B1057" t="inlineStr">
        <is>
          <t>大连艺术学院</t>
        </is>
      </c>
      <c r="C1057" t="n">
        <v>0</v>
      </c>
      <c r="D1057" t="n">
        <v>0</v>
      </c>
      <c r="E1057" t="n">
        <v>2</v>
      </c>
      <c r="F1057" t="n">
        <v>8</v>
      </c>
      <c r="G1057" t="n">
        <v>16324.52220537222</v>
      </c>
      <c r="H1057" t="n">
        <v>45.87503051108857</v>
      </c>
      <c r="I1057">
        <f>IF(H1057=0, 0, G1057/H1057)</f>
        <v/>
      </c>
      <c r="J1057">
        <f>RANK(I1057, I$2:I$1111, 0)</f>
        <v/>
      </c>
      <c r="K1057">
        <f>SUM(C1057)</f>
        <v/>
      </c>
      <c r="L1057">
        <f>SUM(K1057,D1057)</f>
        <v/>
      </c>
      <c r="M1057">
        <f>SUM(L1057,E1057,F1057)</f>
        <v/>
      </c>
      <c r="N1057">
        <f>IF(L1057=0, -1, K1057/L1057)</f>
        <v/>
      </c>
      <c r="O1057">
        <f>IF(M1057=0, -1, K1057/M1057)</f>
        <v/>
      </c>
      <c r="P1057">
        <f>IF(M1057=0, -1, L1057/M1057)</f>
        <v/>
      </c>
    </row>
    <row r="1058">
      <c r="A1058" t="inlineStr">
        <is>
          <t>RC00907</t>
        </is>
      </c>
      <c r="B1058" t="inlineStr">
        <is>
          <t>汉口学院</t>
        </is>
      </c>
      <c r="C1058" t="n">
        <v>0</v>
      </c>
      <c r="D1058" t="n">
        <v>0</v>
      </c>
      <c r="E1058" t="n">
        <v>0</v>
      </c>
      <c r="F1058" t="n">
        <v>1</v>
      </c>
      <c r="G1058" t="n">
        <v>1702.502124252522</v>
      </c>
      <c r="H1058" t="n">
        <v>5.342334251964811</v>
      </c>
      <c r="I1058">
        <f>IF(H1058=0, 0, G1058/H1058)</f>
        <v/>
      </c>
      <c r="J1058">
        <f>RANK(I1058, I$2:I$1111, 0)</f>
        <v/>
      </c>
      <c r="K1058">
        <f>SUM(C1058)</f>
        <v/>
      </c>
      <c r="L1058">
        <f>SUM(K1058,D1058)</f>
        <v/>
      </c>
      <c r="M1058">
        <f>SUM(L1058,E1058,F1058)</f>
        <v/>
      </c>
      <c r="N1058">
        <f>IF(L1058=0, -1, K1058/L1058)</f>
        <v/>
      </c>
      <c r="O1058">
        <f>IF(M1058=0, -1, K1058/M1058)</f>
        <v/>
      </c>
      <c r="P1058">
        <f>IF(M1058=0, -1, L1058/M1058)</f>
        <v/>
      </c>
    </row>
    <row r="1059">
      <c r="A1059" t="inlineStr">
        <is>
          <t>RC01175</t>
        </is>
      </c>
      <c r="B1059" t="inlineStr">
        <is>
          <t>湛江科技学院</t>
        </is>
      </c>
      <c r="C1059" t="n">
        <v>0</v>
      </c>
      <c r="D1059" t="n">
        <v>0</v>
      </c>
      <c r="E1059" t="n">
        <v>0</v>
      </c>
      <c r="F1059" t="n">
        <v>2</v>
      </c>
      <c r="G1059" t="n">
        <v>2907.252785274818</v>
      </c>
      <c r="H1059" t="n">
        <v>9.213535262872702</v>
      </c>
      <c r="I1059">
        <f>IF(H1059=0, 0, G1059/H1059)</f>
        <v/>
      </c>
      <c r="J1059">
        <f>RANK(I1059, I$2:I$1111, 0)</f>
        <v/>
      </c>
      <c r="K1059">
        <f>SUM(C1059)</f>
        <v/>
      </c>
      <c r="L1059">
        <f>SUM(K1059,D1059)</f>
        <v/>
      </c>
      <c r="M1059">
        <f>SUM(L1059,E1059,F1059)</f>
        <v/>
      </c>
      <c r="N1059">
        <f>IF(L1059=0, -1, K1059/L1059)</f>
        <v/>
      </c>
      <c r="O1059">
        <f>IF(M1059=0, -1, K1059/M1059)</f>
        <v/>
      </c>
      <c r="P1059">
        <f>IF(M1059=0, -1, L1059/M1059)</f>
        <v/>
      </c>
    </row>
    <row r="1060">
      <c r="A1060" t="inlineStr">
        <is>
          <t>RC01218</t>
        </is>
      </c>
      <c r="B1060" t="inlineStr">
        <is>
          <t>西北大学现代学院</t>
        </is>
      </c>
      <c r="C1060" t="n">
        <v>0</v>
      </c>
      <c r="D1060" t="n">
        <v>0</v>
      </c>
      <c r="E1060" t="n">
        <v>3</v>
      </c>
      <c r="F1060" t="n">
        <v>7</v>
      </c>
      <c r="G1060" t="n">
        <v>15206.09478686296</v>
      </c>
      <c r="H1060" t="n">
        <v>40.03708496897468</v>
      </c>
      <c r="I1060">
        <f>IF(H1060=0, 0, G1060/H1060)</f>
        <v/>
      </c>
      <c r="J1060">
        <f>RANK(I1060, I$2:I$1111, 0)</f>
        <v/>
      </c>
      <c r="K1060">
        <f>SUM(C1060)</f>
        <v/>
      </c>
      <c r="L1060">
        <f>SUM(K1060,D1060)</f>
        <v/>
      </c>
      <c r="M1060">
        <f>SUM(L1060,E1060,F1060)</f>
        <v/>
      </c>
      <c r="N1060">
        <f>IF(L1060=0, -1, K1060/L1060)</f>
        <v/>
      </c>
      <c r="O1060">
        <f>IF(M1060=0, -1, K1060/M1060)</f>
        <v/>
      </c>
      <c r="P1060">
        <f>IF(M1060=0, -1, L1060/M1060)</f>
        <v/>
      </c>
    </row>
    <row r="1061">
      <c r="A1061" t="inlineStr">
        <is>
          <t>RC00995</t>
        </is>
      </c>
      <c r="B1061" t="inlineStr">
        <is>
          <t>山西电子科技学院</t>
        </is>
      </c>
      <c r="C1061" t="n">
        <v>0</v>
      </c>
      <c r="D1061" t="n">
        <v>0</v>
      </c>
      <c r="E1061" t="n">
        <v>1</v>
      </c>
      <c r="F1061" t="n">
        <v>0</v>
      </c>
      <c r="G1061" t="n">
        <v>2373.849676500122</v>
      </c>
      <c r="H1061" t="n">
        <v>3.871201010907891</v>
      </c>
      <c r="I1061">
        <f>IF(H1061=0, 0, G1061/H1061)</f>
        <v/>
      </c>
      <c r="J1061">
        <f>RANK(I1061, I$2:I$1111, 0)</f>
        <v/>
      </c>
      <c r="K1061">
        <f>SUM(C1061)</f>
        <v/>
      </c>
      <c r="L1061">
        <f>SUM(K1061,D1061)</f>
        <v/>
      </c>
      <c r="M1061">
        <f>SUM(L1061,E1061,F1061)</f>
        <v/>
      </c>
      <c r="N1061">
        <f>IF(L1061=0, -1, K1061/L1061)</f>
        <v/>
      </c>
      <c r="O1061">
        <f>IF(M1061=0, -1, K1061/M1061)</f>
        <v/>
      </c>
      <c r="P1061">
        <f>IF(M1061=0, -1, L1061/M1061)</f>
        <v/>
      </c>
    </row>
    <row r="1062">
      <c r="A1062" t="inlineStr">
        <is>
          <t>RC00844</t>
        </is>
      </c>
      <c r="B1062" t="inlineStr">
        <is>
          <t>长春科技学院</t>
        </is>
      </c>
      <c r="C1062" t="n">
        <v>0</v>
      </c>
      <c r="D1062" t="n">
        <v>0</v>
      </c>
      <c r="E1062" t="n">
        <v>0</v>
      </c>
      <c r="F1062" t="n">
        <v>2</v>
      </c>
      <c r="G1062" t="n">
        <v>4239.120384517155</v>
      </c>
      <c r="H1062" t="n">
        <v>9.052984561199976</v>
      </c>
      <c r="I1062">
        <f>IF(H1062=0, 0, G1062/H1062)</f>
        <v/>
      </c>
      <c r="J1062">
        <f>RANK(I1062, I$2:I$1111, 0)</f>
        <v/>
      </c>
      <c r="K1062">
        <f>SUM(C1062)</f>
        <v/>
      </c>
      <c r="L1062">
        <f>SUM(K1062,D1062)</f>
        <v/>
      </c>
      <c r="M1062">
        <f>SUM(L1062,E1062,F1062)</f>
        <v/>
      </c>
      <c r="N1062">
        <f>IF(L1062=0, -1, K1062/L1062)</f>
        <v/>
      </c>
      <c r="O1062">
        <f>IF(M1062=0, -1, K1062/M1062)</f>
        <v/>
      </c>
      <c r="P1062">
        <f>IF(M1062=0, -1, L1062/M1062)</f>
        <v/>
      </c>
    </row>
    <row r="1063">
      <c r="A1063" t="inlineStr">
        <is>
          <t>RC00859</t>
        </is>
      </c>
      <c r="B1063" t="inlineStr">
        <is>
          <t>上海视觉艺术学院</t>
        </is>
      </c>
      <c r="C1063" t="n">
        <v>0</v>
      </c>
      <c r="D1063" t="n">
        <v>0</v>
      </c>
      <c r="E1063" t="n">
        <v>7</v>
      </c>
      <c r="F1063" t="n">
        <v>7</v>
      </c>
      <c r="G1063" t="n">
        <v>24683.0105177777</v>
      </c>
      <c r="H1063" t="n">
        <v>63.09800402411692</v>
      </c>
      <c r="I1063">
        <f>IF(H1063=0, 0, G1063/H1063)</f>
        <v/>
      </c>
      <c r="J1063">
        <f>RANK(I1063, I$2:I$1111, 0)</f>
        <v/>
      </c>
      <c r="K1063">
        <f>SUM(C1063)</f>
        <v/>
      </c>
      <c r="L1063">
        <f>SUM(K1063,D1063)</f>
        <v/>
      </c>
      <c r="M1063">
        <f>SUM(L1063,E1063,F1063)</f>
        <v/>
      </c>
      <c r="N1063">
        <f>IF(L1063=0, -1, K1063/L1063)</f>
        <v/>
      </c>
      <c r="O1063">
        <f>IF(M1063=0, -1, K1063/M1063)</f>
        <v/>
      </c>
      <c r="P1063">
        <f>IF(M1063=0, -1, L1063/M1063)</f>
        <v/>
      </c>
    </row>
    <row r="1064">
      <c r="A1064" t="inlineStr">
        <is>
          <t>RC00945</t>
        </is>
      </c>
      <c r="B1064" t="inlineStr">
        <is>
          <t>西安外事学院</t>
        </is>
      </c>
      <c r="C1064" t="n">
        <v>0</v>
      </c>
      <c r="D1064" t="n">
        <v>0</v>
      </c>
      <c r="E1064" t="n">
        <v>1</v>
      </c>
      <c r="F1064" t="n">
        <v>1</v>
      </c>
      <c r="G1064" t="n">
        <v>4519.12715908374</v>
      </c>
      <c r="H1064" t="n">
        <v>9.317938382574201</v>
      </c>
      <c r="I1064">
        <f>IF(H1064=0, 0, G1064/H1064)</f>
        <v/>
      </c>
      <c r="J1064">
        <f>RANK(I1064, I$2:I$1111, 0)</f>
        <v/>
      </c>
      <c r="K1064">
        <f>SUM(C1064)</f>
        <v/>
      </c>
      <c r="L1064">
        <f>SUM(K1064,D1064)</f>
        <v/>
      </c>
      <c r="M1064">
        <f>SUM(L1064,E1064,F1064)</f>
        <v/>
      </c>
      <c r="N1064">
        <f>IF(L1064=0, -1, K1064/L1064)</f>
        <v/>
      </c>
      <c r="O1064">
        <f>IF(M1064=0, -1, K1064/M1064)</f>
        <v/>
      </c>
      <c r="P1064">
        <f>IF(M1064=0, -1, L1064/M1064)</f>
        <v/>
      </c>
    </row>
    <row r="1065">
      <c r="A1065" t="inlineStr">
        <is>
          <t>RC00272</t>
        </is>
      </c>
      <c r="B1065" t="inlineStr">
        <is>
          <t>鲁迅美术学院</t>
        </is>
      </c>
      <c r="C1065" t="n">
        <v>0</v>
      </c>
      <c r="D1065" t="n">
        <v>5</v>
      </c>
      <c r="E1065" t="n">
        <v>9</v>
      </c>
      <c r="F1065" t="n">
        <v>6</v>
      </c>
      <c r="G1065" t="n">
        <v>52304.22708872722</v>
      </c>
      <c r="H1065" t="n">
        <v>87.63700210607625</v>
      </c>
      <c r="I1065">
        <f>IF(H1065=0, 0, G1065/H1065)</f>
        <v/>
      </c>
      <c r="J1065">
        <f>RANK(I1065, I$2:I$1111, 0)</f>
        <v/>
      </c>
      <c r="K1065">
        <f>SUM(C1065)</f>
        <v/>
      </c>
      <c r="L1065">
        <f>SUM(K1065,D1065)</f>
        <v/>
      </c>
      <c r="M1065">
        <f>SUM(L1065,E1065,F1065)</f>
        <v/>
      </c>
      <c r="N1065">
        <f>IF(L1065=0, -1, K1065/L1065)</f>
        <v/>
      </c>
      <c r="O1065">
        <f>IF(M1065=0, -1, K1065/M1065)</f>
        <v/>
      </c>
      <c r="P1065">
        <f>IF(M1065=0, -1, L1065/M1065)</f>
        <v/>
      </c>
    </row>
    <row r="1066">
      <c r="A1066" t="inlineStr">
        <is>
          <t>RC00960</t>
        </is>
      </c>
      <c r="B1066" t="inlineStr">
        <is>
          <t>首都师范大学科德学院</t>
        </is>
      </c>
      <c r="C1066" t="n">
        <v>0</v>
      </c>
      <c r="D1066" t="n">
        <v>0</v>
      </c>
      <c r="E1066" t="n">
        <v>0</v>
      </c>
      <c r="F1066" t="n">
        <v>5</v>
      </c>
      <c r="G1066" t="n">
        <v>7041.836319727896</v>
      </c>
      <c r="H1066" t="n">
        <v>22.66203941313607</v>
      </c>
      <c r="I1066">
        <f>IF(H1066=0, 0, G1066/H1066)</f>
        <v/>
      </c>
      <c r="J1066">
        <f>RANK(I1066, I$2:I$1111, 0)</f>
        <v/>
      </c>
      <c r="K1066">
        <f>SUM(C1066)</f>
        <v/>
      </c>
      <c r="L1066">
        <f>SUM(K1066,D1066)</f>
        <v/>
      </c>
      <c r="M1066">
        <f>SUM(L1066,E1066,F1066)</f>
        <v/>
      </c>
      <c r="N1066">
        <f>IF(L1066=0, -1, K1066/L1066)</f>
        <v/>
      </c>
      <c r="O1066">
        <f>IF(M1066=0, -1, K1066/M1066)</f>
        <v/>
      </c>
      <c r="P1066">
        <f>IF(M1066=0, -1, L1066/M1066)</f>
        <v/>
      </c>
    </row>
    <row r="1067">
      <c r="A1067" t="inlineStr">
        <is>
          <t>RC00822</t>
        </is>
      </c>
      <c r="B1067" t="inlineStr">
        <is>
          <t>河北美术学院</t>
        </is>
      </c>
      <c r="C1067" t="n">
        <v>0</v>
      </c>
      <c r="D1067" t="n">
        <v>0</v>
      </c>
      <c r="E1067" t="n">
        <v>4</v>
      </c>
      <c r="F1067" t="n">
        <v>5</v>
      </c>
      <c r="G1067" t="n">
        <v>16343.08110300996</v>
      </c>
      <c r="H1067" t="n">
        <v>39.26492636877817</v>
      </c>
      <c r="I1067">
        <f>IF(H1067=0, 0, G1067/H1067)</f>
        <v/>
      </c>
      <c r="J1067">
        <f>RANK(I1067, I$2:I$1111, 0)</f>
        <v/>
      </c>
      <c r="K1067">
        <f>SUM(C1067)</f>
        <v/>
      </c>
      <c r="L1067">
        <f>SUM(K1067,D1067)</f>
        <v/>
      </c>
      <c r="M1067">
        <f>SUM(L1067,E1067,F1067)</f>
        <v/>
      </c>
      <c r="N1067">
        <f>IF(L1067=0, -1, K1067/L1067)</f>
        <v/>
      </c>
      <c r="O1067">
        <f>IF(M1067=0, -1, K1067/M1067)</f>
        <v/>
      </c>
      <c r="P1067">
        <f>IF(M1067=0, -1, L1067/M1067)</f>
        <v/>
      </c>
    </row>
    <row r="1068">
      <c r="A1068" t="inlineStr">
        <is>
          <t>RC01110</t>
        </is>
      </c>
      <c r="B1068" t="inlineStr">
        <is>
          <t>潍坊理工学院</t>
        </is>
      </c>
      <c r="C1068" t="n">
        <v>0</v>
      </c>
      <c r="D1068" t="n">
        <v>0</v>
      </c>
      <c r="E1068" t="n">
        <v>0</v>
      </c>
      <c r="F1068" t="n">
        <v>1</v>
      </c>
      <c r="G1068" t="n">
        <v>1993.655999531328</v>
      </c>
      <c r="H1068" t="n">
        <v>4.852030263919617</v>
      </c>
      <c r="I1068">
        <f>IF(H1068=0, 0, G1068/H1068)</f>
        <v/>
      </c>
      <c r="J1068">
        <f>RANK(I1068, I$2:I$1111, 0)</f>
        <v/>
      </c>
      <c r="K1068">
        <f>SUM(C1068)</f>
        <v/>
      </c>
      <c r="L1068">
        <f>SUM(K1068,D1068)</f>
        <v/>
      </c>
      <c r="M1068">
        <f>SUM(L1068,E1068,F1068)</f>
        <v/>
      </c>
      <c r="N1068">
        <f>IF(L1068=0, -1, K1068/L1068)</f>
        <v/>
      </c>
      <c r="O1068">
        <f>IF(M1068=0, -1, K1068/M1068)</f>
        <v/>
      </c>
      <c r="P1068">
        <f>IF(M1068=0, -1, L1068/M1068)</f>
        <v/>
      </c>
    </row>
    <row r="1069">
      <c r="A1069" t="inlineStr">
        <is>
          <t>RC01113</t>
        </is>
      </c>
      <c r="B1069" t="inlineStr">
        <is>
          <t>青岛电影学院</t>
        </is>
      </c>
      <c r="C1069" t="n">
        <v>0</v>
      </c>
      <c r="D1069" t="n">
        <v>0</v>
      </c>
      <c r="E1069" t="n">
        <v>0</v>
      </c>
      <c r="F1069" t="n">
        <v>2</v>
      </c>
      <c r="G1069" t="n">
        <v>2768.622019158293</v>
      </c>
      <c r="H1069" t="n">
        <v>7.129297548929373</v>
      </c>
      <c r="I1069">
        <f>IF(H1069=0, 0, G1069/H1069)</f>
        <v/>
      </c>
      <c r="J1069">
        <f>RANK(I1069, I$2:I$1111, 0)</f>
        <v/>
      </c>
      <c r="K1069">
        <f>SUM(C1069)</f>
        <v/>
      </c>
      <c r="L1069">
        <f>SUM(K1069,D1069)</f>
        <v/>
      </c>
      <c r="M1069">
        <f>SUM(L1069,E1069,F1069)</f>
        <v/>
      </c>
      <c r="N1069">
        <f>IF(L1069=0, -1, K1069/L1069)</f>
        <v/>
      </c>
      <c r="O1069">
        <f>IF(M1069=0, -1, K1069/M1069)</f>
        <v/>
      </c>
      <c r="P1069">
        <f>IF(M1069=0, -1, L1069/M1069)</f>
        <v/>
      </c>
    </row>
    <row r="1070">
      <c r="A1070" t="inlineStr">
        <is>
          <t>RC00177</t>
        </is>
      </c>
      <c r="B1070" t="inlineStr">
        <is>
          <t>天津美术学院</t>
        </is>
      </c>
      <c r="C1070" t="n">
        <v>0</v>
      </c>
      <c r="D1070" t="n">
        <v>1</v>
      </c>
      <c r="E1070" t="n">
        <v>10</v>
      </c>
      <c r="F1070" t="n">
        <v>6</v>
      </c>
      <c r="G1070" t="n">
        <v>40999.77276230073</v>
      </c>
      <c r="H1070" t="n">
        <v>74.25003696926424</v>
      </c>
      <c r="I1070">
        <f>IF(H1070=0, 0, G1070/H1070)</f>
        <v/>
      </c>
      <c r="J1070">
        <f>RANK(I1070, I$2:I$1111, 0)</f>
        <v/>
      </c>
      <c r="K1070">
        <f>SUM(C1070)</f>
        <v/>
      </c>
      <c r="L1070">
        <f>SUM(K1070,D1070)</f>
        <v/>
      </c>
      <c r="M1070">
        <f>SUM(L1070,E1070,F1070)</f>
        <v/>
      </c>
      <c r="N1070">
        <f>IF(L1070=0, -1, K1070/L1070)</f>
        <v/>
      </c>
      <c r="O1070">
        <f>IF(M1070=0, -1, K1070/M1070)</f>
        <v/>
      </c>
      <c r="P1070">
        <f>IF(M1070=0, -1, L1070/M1070)</f>
        <v/>
      </c>
    </row>
    <row r="1071">
      <c r="A1071" t="inlineStr">
        <is>
          <t>RC01145</t>
        </is>
      </c>
      <c r="B1071" t="inlineStr">
        <is>
          <t>武汉晴川学院</t>
        </is>
      </c>
      <c r="C1071" t="n">
        <v>0</v>
      </c>
      <c r="D1071" t="n">
        <v>0</v>
      </c>
      <c r="E1071" t="n">
        <v>0</v>
      </c>
      <c r="F1071" t="n">
        <v>1</v>
      </c>
      <c r="G1071" t="n">
        <v>1618.695023216179</v>
      </c>
      <c r="H1071" t="n">
        <v>4.919980925828125</v>
      </c>
      <c r="I1071">
        <f>IF(H1071=0, 0, G1071/H1071)</f>
        <v/>
      </c>
      <c r="J1071">
        <f>RANK(I1071, I$2:I$1111, 0)</f>
        <v/>
      </c>
      <c r="K1071">
        <f>SUM(C1071)</f>
        <v/>
      </c>
      <c r="L1071">
        <f>SUM(K1071,D1071)</f>
        <v/>
      </c>
      <c r="M1071">
        <f>SUM(L1071,E1071,F1071)</f>
        <v/>
      </c>
      <c r="N1071">
        <f>IF(L1071=0, -1, K1071/L1071)</f>
        <v/>
      </c>
      <c r="O1071">
        <f>IF(M1071=0, -1, K1071/M1071)</f>
        <v/>
      </c>
      <c r="P1071">
        <f>IF(M1071=0, -1, L1071/M1071)</f>
        <v/>
      </c>
    </row>
    <row r="1072">
      <c r="A1072" t="inlineStr">
        <is>
          <t>RC00839</t>
        </is>
      </c>
      <c r="B1072" t="inlineStr">
        <is>
          <t>辽宁传媒学院</t>
        </is>
      </c>
      <c r="C1072" t="n">
        <v>0</v>
      </c>
      <c r="D1072" t="n">
        <v>0</v>
      </c>
      <c r="E1072" t="n">
        <v>0</v>
      </c>
      <c r="F1072" t="n">
        <v>1</v>
      </c>
      <c r="G1072" t="n">
        <v>1882.634767222556</v>
      </c>
      <c r="H1072" t="n">
        <v>5.087596335232384</v>
      </c>
      <c r="I1072">
        <f>IF(H1072=0, 0, G1072/H1072)</f>
        <v/>
      </c>
      <c r="J1072">
        <f>RANK(I1072, I$2:I$1111, 0)</f>
        <v/>
      </c>
      <c r="K1072">
        <f>SUM(C1072)</f>
        <v/>
      </c>
      <c r="L1072">
        <f>SUM(K1072,D1072)</f>
        <v/>
      </c>
      <c r="M1072">
        <f>SUM(L1072,E1072,F1072)</f>
        <v/>
      </c>
      <c r="N1072">
        <f>IF(L1072=0, -1, K1072/L1072)</f>
        <v/>
      </c>
      <c r="O1072">
        <f>IF(M1072=0, -1, K1072/M1072)</f>
        <v/>
      </c>
      <c r="P1072">
        <f>IF(M1072=0, -1, L1072/M1072)</f>
        <v/>
      </c>
    </row>
    <row r="1073">
      <c r="A1073" t="inlineStr">
        <is>
          <t>RC01163</t>
        </is>
      </c>
      <c r="B1073" t="inlineStr">
        <is>
          <t>广州华立学院</t>
        </is>
      </c>
      <c r="C1073" t="n">
        <v>0</v>
      </c>
      <c r="D1073" t="n">
        <v>0</v>
      </c>
      <c r="E1073" t="n">
        <v>0</v>
      </c>
      <c r="F1073" t="n">
        <v>1</v>
      </c>
      <c r="G1073" t="n">
        <v>1815.397811250322</v>
      </c>
      <c r="H1073" t="n">
        <v>5.087596335232384</v>
      </c>
      <c r="I1073">
        <f>IF(H1073=0, 0, G1073/H1073)</f>
        <v/>
      </c>
      <c r="J1073">
        <f>RANK(I1073, I$2:I$1111, 0)</f>
        <v/>
      </c>
      <c r="K1073">
        <f>SUM(C1073)</f>
        <v/>
      </c>
      <c r="L1073">
        <f>SUM(K1073,D1073)</f>
        <v/>
      </c>
      <c r="M1073">
        <f>SUM(L1073,E1073,F1073)</f>
        <v/>
      </c>
      <c r="N1073">
        <f>IF(L1073=0, -1, K1073/L1073)</f>
        <v/>
      </c>
      <c r="O1073">
        <f>IF(M1073=0, -1, K1073/M1073)</f>
        <v/>
      </c>
      <c r="P1073">
        <f>IF(M1073=0, -1, L1073/M1073)</f>
        <v/>
      </c>
    </row>
    <row r="1074">
      <c r="A1074" t="inlineStr">
        <is>
          <t>RC00929</t>
        </is>
      </c>
      <c r="B1074" t="inlineStr">
        <is>
          <t>北海艺术设计学院</t>
        </is>
      </c>
      <c r="C1074" t="n">
        <v>0</v>
      </c>
      <c r="D1074" t="n">
        <v>0</v>
      </c>
      <c r="E1074" t="n">
        <v>0</v>
      </c>
      <c r="F1074" t="n">
        <v>2</v>
      </c>
      <c r="G1074" t="n">
        <v>3115.573082887284</v>
      </c>
      <c r="H1074" t="n">
        <v>11.08653289717907</v>
      </c>
      <c r="I1074">
        <f>IF(H1074=0, 0, G1074/H1074)</f>
        <v/>
      </c>
      <c r="J1074">
        <f>RANK(I1074, I$2:I$1111, 0)</f>
        <v/>
      </c>
      <c r="K1074">
        <f>SUM(C1074)</f>
        <v/>
      </c>
      <c r="L1074">
        <f>SUM(K1074,D1074)</f>
        <v/>
      </c>
      <c r="M1074">
        <f>SUM(L1074,E1074,F1074)</f>
        <v/>
      </c>
      <c r="N1074">
        <f>IF(L1074=0, -1, K1074/L1074)</f>
        <v/>
      </c>
      <c r="O1074">
        <f>IF(M1074=0, -1, K1074/M1074)</f>
        <v/>
      </c>
      <c r="P1074">
        <f>IF(M1074=0, -1, L1074/M1074)</f>
        <v/>
      </c>
    </row>
    <row r="1075">
      <c r="A1075" t="inlineStr">
        <is>
          <t>RC00921</t>
        </is>
      </c>
      <c r="B1075" t="inlineStr">
        <is>
          <t>广东东软学院</t>
        </is>
      </c>
      <c r="C1075" t="n">
        <v>0</v>
      </c>
      <c r="D1075" t="n">
        <v>0</v>
      </c>
      <c r="E1075" t="n">
        <v>0</v>
      </c>
      <c r="F1075" t="n">
        <v>4</v>
      </c>
      <c r="G1075" t="n">
        <v>5723.739640628002</v>
      </c>
      <c r="H1075" t="n">
        <v>22.4511323526133</v>
      </c>
      <c r="I1075">
        <f>IF(H1075=0, 0, G1075/H1075)</f>
        <v/>
      </c>
      <c r="J1075">
        <f>RANK(I1075, I$2:I$1111, 0)</f>
        <v/>
      </c>
      <c r="K1075">
        <f>SUM(C1075)</f>
        <v/>
      </c>
      <c r="L1075">
        <f>SUM(K1075,D1075)</f>
        <v/>
      </c>
      <c r="M1075">
        <f>SUM(L1075,E1075,F1075)</f>
        <v/>
      </c>
      <c r="N1075">
        <f>IF(L1075=0, -1, K1075/L1075)</f>
        <v/>
      </c>
      <c r="O1075">
        <f>IF(M1075=0, -1, K1075/M1075)</f>
        <v/>
      </c>
      <c r="P1075">
        <f>IF(M1075=0, -1, L1075/M1075)</f>
        <v/>
      </c>
    </row>
    <row r="1076">
      <c r="A1076" t="inlineStr">
        <is>
          <t>RC01052</t>
        </is>
      </c>
      <c r="B1076" t="inlineStr">
        <is>
          <t>宁波大学科学技术学院</t>
        </is>
      </c>
      <c r="C1076" t="n">
        <v>0</v>
      </c>
      <c r="D1076" t="n">
        <v>0</v>
      </c>
      <c r="E1076" t="n">
        <v>0</v>
      </c>
      <c r="F1076" t="n">
        <v>2</v>
      </c>
      <c r="G1076" t="n">
        <v>2942.316995588228</v>
      </c>
      <c r="H1076" t="n">
        <v>11.08155776253895</v>
      </c>
      <c r="I1076">
        <f>IF(H1076=0, 0, G1076/H1076)</f>
        <v/>
      </c>
      <c r="J1076">
        <f>RANK(I1076, I$2:I$1111, 0)</f>
        <v/>
      </c>
      <c r="K1076">
        <f>SUM(C1076)</f>
        <v/>
      </c>
      <c r="L1076">
        <f>SUM(K1076,D1076)</f>
        <v/>
      </c>
      <c r="M1076">
        <f>SUM(L1076,E1076,F1076)</f>
        <v/>
      </c>
      <c r="N1076">
        <f>IF(L1076=0, -1, K1076/L1076)</f>
        <v/>
      </c>
      <c r="O1076">
        <f>IF(M1076=0, -1, K1076/M1076)</f>
        <v/>
      </c>
      <c r="P1076">
        <f>IF(M1076=0, -1, L1076/M1076)</f>
        <v/>
      </c>
    </row>
    <row r="1077">
      <c r="A1077" t="inlineStr">
        <is>
          <t>RC00855</t>
        </is>
      </c>
      <c r="B1077" t="inlineStr">
        <is>
          <t>哈尔滨华德学院</t>
        </is>
      </c>
      <c r="C1077" t="n">
        <v>0</v>
      </c>
      <c r="D1077" t="n">
        <v>0</v>
      </c>
      <c r="E1077" t="n">
        <v>0</v>
      </c>
      <c r="F1077" t="n">
        <v>1</v>
      </c>
      <c r="G1077" t="n">
        <v>1207.893157493804</v>
      </c>
      <c r="H1077" t="n">
        <v>3.951243718581428</v>
      </c>
      <c r="I1077">
        <f>IF(H1077=0, 0, G1077/H1077)</f>
        <v/>
      </c>
      <c r="J1077">
        <f>RANK(I1077, I$2:I$1111, 0)</f>
        <v/>
      </c>
      <c r="K1077">
        <f>SUM(C1077)</f>
        <v/>
      </c>
      <c r="L1077">
        <f>SUM(K1077,D1077)</f>
        <v/>
      </c>
      <c r="M1077">
        <f>SUM(L1077,E1077,F1077)</f>
        <v/>
      </c>
      <c r="N1077">
        <f>IF(L1077=0, -1, K1077/L1077)</f>
        <v/>
      </c>
      <c r="O1077">
        <f>IF(M1077=0, -1, K1077/M1077)</f>
        <v/>
      </c>
      <c r="P1077">
        <f>IF(M1077=0, -1, L1077/M1077)</f>
        <v/>
      </c>
    </row>
    <row r="1078">
      <c r="A1078" t="inlineStr">
        <is>
          <t>RC01160</t>
        </is>
      </c>
      <c r="B1078" t="inlineStr">
        <is>
          <t>衡阳师范学院南岳学院</t>
        </is>
      </c>
      <c r="C1078" t="n">
        <v>0</v>
      </c>
      <c r="D1078" t="n">
        <v>0</v>
      </c>
      <c r="E1078" t="n">
        <v>0</v>
      </c>
      <c r="F1078" t="n">
        <v>1</v>
      </c>
      <c r="G1078" t="n">
        <v>2072.713420116834</v>
      </c>
      <c r="H1078" t="n">
        <v>5.181783550292085</v>
      </c>
      <c r="I1078">
        <f>IF(H1078=0, 0, G1078/H1078)</f>
        <v/>
      </c>
      <c r="J1078">
        <f>RANK(I1078, I$2:I$1111, 0)</f>
        <v/>
      </c>
      <c r="K1078">
        <f>SUM(C1078)</f>
        <v/>
      </c>
      <c r="L1078">
        <f>SUM(K1078,D1078)</f>
        <v/>
      </c>
      <c r="M1078">
        <f>SUM(L1078,E1078,F1078)</f>
        <v/>
      </c>
      <c r="N1078">
        <f>IF(L1078=0, -1, K1078/L1078)</f>
        <v/>
      </c>
      <c r="O1078">
        <f>IF(M1078=0, -1, K1078/M1078)</f>
        <v/>
      </c>
      <c r="P1078">
        <f>IF(M1078=0, -1, L1078/M1078)</f>
        <v/>
      </c>
    </row>
    <row r="1079">
      <c r="A1079" t="inlineStr">
        <is>
          <t>RC01082</t>
        </is>
      </c>
      <c r="B1079" t="inlineStr">
        <is>
          <t>阳光学院</t>
        </is>
      </c>
      <c r="C1079" t="n">
        <v>0</v>
      </c>
      <c r="D1079" t="n">
        <v>0</v>
      </c>
      <c r="E1079" t="n">
        <v>0</v>
      </c>
      <c r="F1079" t="n">
        <v>1</v>
      </c>
      <c r="G1079" t="n">
        <v>2072.713420116834</v>
      </c>
      <c r="H1079" t="n">
        <v>5.181783550292085</v>
      </c>
      <c r="I1079">
        <f>IF(H1079=0, 0, G1079/H1079)</f>
        <v/>
      </c>
      <c r="J1079">
        <f>RANK(I1079, I$2:I$1111, 0)</f>
        <v/>
      </c>
      <c r="K1079">
        <f>SUM(C1079)</f>
        <v/>
      </c>
      <c r="L1079">
        <f>SUM(K1079,D1079)</f>
        <v/>
      </c>
      <c r="M1079">
        <f>SUM(L1079,E1079,F1079)</f>
        <v/>
      </c>
      <c r="N1079">
        <f>IF(L1079=0, -1, K1079/L1079)</f>
        <v/>
      </c>
      <c r="O1079">
        <f>IF(M1079=0, -1, K1079/M1079)</f>
        <v/>
      </c>
      <c r="P1079">
        <f>IF(M1079=0, -1, L1079/M1079)</f>
        <v/>
      </c>
    </row>
    <row r="1080">
      <c r="A1080" t="inlineStr">
        <is>
          <t>RC00241</t>
        </is>
      </c>
      <c r="B1080" t="inlineStr">
        <is>
          <t>集宁师范学院</t>
        </is>
      </c>
      <c r="C1080" t="n">
        <v>0</v>
      </c>
      <c r="D1080" t="n">
        <v>0</v>
      </c>
      <c r="E1080" t="n">
        <v>0</v>
      </c>
      <c r="F1080" t="n">
        <v>1</v>
      </c>
      <c r="G1080" t="n">
        <v>1952.206825923995</v>
      </c>
      <c r="H1080" t="n">
        <v>5.181783550292085</v>
      </c>
      <c r="I1080">
        <f>IF(H1080=0, 0, G1080/H1080)</f>
        <v/>
      </c>
      <c r="J1080">
        <f>RANK(I1080, I$2:I$1111, 0)</f>
        <v/>
      </c>
      <c r="K1080">
        <f>SUM(C1080)</f>
        <v/>
      </c>
      <c r="L1080">
        <f>SUM(K1080,D1080)</f>
        <v/>
      </c>
      <c r="M1080">
        <f>SUM(L1080,E1080,F1080)</f>
        <v/>
      </c>
      <c r="N1080">
        <f>IF(L1080=0, -1, K1080/L1080)</f>
        <v/>
      </c>
      <c r="O1080">
        <f>IF(M1080=0, -1, K1080/M1080)</f>
        <v/>
      </c>
      <c r="P1080">
        <f>IF(M1080=0, -1, L1080/M1080)</f>
        <v/>
      </c>
    </row>
    <row r="1081">
      <c r="A1081" t="inlineStr">
        <is>
          <t>RC00920</t>
        </is>
      </c>
      <c r="B1081" t="inlineStr">
        <is>
          <t>广东培正学院</t>
        </is>
      </c>
      <c r="C1081" t="n">
        <v>0</v>
      </c>
      <c r="D1081" t="n">
        <v>0</v>
      </c>
      <c r="E1081" t="n">
        <v>0</v>
      </c>
      <c r="F1081" t="n">
        <v>1</v>
      </c>
      <c r="G1081" t="n">
        <v>1957.646589900096</v>
      </c>
      <c r="H1081" t="n">
        <v>4.574710978503383</v>
      </c>
      <c r="I1081">
        <f>IF(H1081=0, 0, G1081/H1081)</f>
        <v/>
      </c>
      <c r="J1081">
        <f>RANK(I1081, I$2:I$1111, 0)</f>
        <v/>
      </c>
      <c r="K1081">
        <f>SUM(C1081)</f>
        <v/>
      </c>
      <c r="L1081">
        <f>SUM(K1081,D1081)</f>
        <v/>
      </c>
      <c r="M1081">
        <f>SUM(L1081,E1081,F1081)</f>
        <v/>
      </c>
      <c r="N1081">
        <f>IF(L1081=0, -1, K1081/L1081)</f>
        <v/>
      </c>
      <c r="O1081">
        <f>IF(M1081=0, -1, K1081/M1081)</f>
        <v/>
      </c>
      <c r="P1081">
        <f>IF(M1081=0, -1, L1081/M1081)</f>
        <v/>
      </c>
    </row>
    <row r="1082">
      <c r="A1082" t="inlineStr">
        <is>
          <t>RC01554</t>
        </is>
      </c>
      <c r="B1082" t="inlineStr">
        <is>
          <t>上海立达学院</t>
        </is>
      </c>
      <c r="C1082" t="n">
        <v>0</v>
      </c>
      <c r="D1082" t="n">
        <v>0</v>
      </c>
      <c r="E1082" t="n">
        <v>0</v>
      </c>
      <c r="F1082" t="n">
        <v>2</v>
      </c>
      <c r="G1082" t="n">
        <v>2787.430865920338</v>
      </c>
      <c r="H1082" t="n">
        <v>9.335032815933502</v>
      </c>
      <c r="I1082">
        <f>IF(H1082=0, 0, G1082/H1082)</f>
        <v/>
      </c>
      <c r="J1082">
        <f>RANK(I1082, I$2:I$1111, 0)</f>
        <v/>
      </c>
      <c r="K1082">
        <f>SUM(C1082)</f>
        <v/>
      </c>
      <c r="L1082">
        <f>SUM(K1082,D1082)</f>
        <v/>
      </c>
      <c r="M1082">
        <f>SUM(L1082,E1082,F1082)</f>
        <v/>
      </c>
      <c r="N1082">
        <f>IF(L1082=0, -1, K1082/L1082)</f>
        <v/>
      </c>
      <c r="O1082">
        <f>IF(M1082=0, -1, K1082/M1082)</f>
        <v/>
      </c>
      <c r="P1082">
        <f>IF(M1082=0, -1, L1082/M1082)</f>
        <v/>
      </c>
    </row>
    <row r="1083">
      <c r="A1083" t="inlineStr">
        <is>
          <t>RC01235</t>
        </is>
      </c>
      <c r="B1083" t="inlineStr">
        <is>
          <t>银川科技学院</t>
        </is>
      </c>
      <c r="C1083" t="n">
        <v>0</v>
      </c>
      <c r="D1083" t="n">
        <v>0</v>
      </c>
      <c r="E1083" t="n">
        <v>0</v>
      </c>
      <c r="F1083" t="n">
        <v>2</v>
      </c>
      <c r="G1083" t="n">
        <v>2735.874272065058</v>
      </c>
      <c r="H1083" t="n">
        <v>9.520321951922732</v>
      </c>
      <c r="I1083">
        <f>IF(H1083=0, 0, G1083/H1083)</f>
        <v/>
      </c>
      <c r="J1083">
        <f>RANK(I1083, I$2:I$1111, 0)</f>
        <v/>
      </c>
      <c r="K1083">
        <f>SUM(C1083)</f>
        <v/>
      </c>
      <c r="L1083">
        <f>SUM(K1083,D1083)</f>
        <v/>
      </c>
      <c r="M1083">
        <f>SUM(L1083,E1083,F1083)</f>
        <v/>
      </c>
      <c r="N1083">
        <f>IF(L1083=0, -1, K1083/L1083)</f>
        <v/>
      </c>
      <c r="O1083">
        <f>IF(M1083=0, -1, K1083/M1083)</f>
        <v/>
      </c>
      <c r="P1083">
        <f>IF(M1083=0, -1, L1083/M1083)</f>
        <v/>
      </c>
    </row>
    <row r="1084">
      <c r="A1084" t="inlineStr">
        <is>
          <t>RC00829</t>
        </is>
      </c>
      <c r="B1084" t="inlineStr">
        <is>
          <t>沈阳工学院</t>
        </is>
      </c>
      <c r="C1084" t="n">
        <v>0</v>
      </c>
      <c r="D1084" t="n">
        <v>0</v>
      </c>
      <c r="E1084" t="n">
        <v>0</v>
      </c>
      <c r="F1084" t="n">
        <v>2</v>
      </c>
      <c r="G1084" t="n">
        <v>2557.659096799118</v>
      </c>
      <c r="H1084" t="n">
        <v>11.99289798925325</v>
      </c>
      <c r="I1084">
        <f>IF(H1084=0, 0, G1084/H1084)</f>
        <v/>
      </c>
      <c r="J1084">
        <f>RANK(I1084, I$2:I$1111, 0)</f>
        <v/>
      </c>
      <c r="K1084">
        <f>SUM(C1084)</f>
        <v/>
      </c>
      <c r="L1084">
        <f>SUM(K1084,D1084)</f>
        <v/>
      </c>
      <c r="M1084">
        <f>SUM(L1084,E1084,F1084)</f>
        <v/>
      </c>
      <c r="N1084">
        <f>IF(L1084=0, -1, K1084/L1084)</f>
        <v/>
      </c>
      <c r="O1084">
        <f>IF(M1084=0, -1, K1084/M1084)</f>
        <v/>
      </c>
      <c r="P1084">
        <f>IF(M1084=0, -1, L1084/M1084)</f>
        <v/>
      </c>
    </row>
    <row r="1085">
      <c r="A1085" t="inlineStr">
        <is>
          <t>RC00849</t>
        </is>
      </c>
      <c r="B1085" t="inlineStr">
        <is>
          <t>黑龙江外国语学院</t>
        </is>
      </c>
      <c r="C1085" t="n">
        <v>0</v>
      </c>
      <c r="D1085" t="n">
        <v>0</v>
      </c>
      <c r="E1085" t="n">
        <v>0</v>
      </c>
      <c r="F1085" t="n">
        <v>1</v>
      </c>
      <c r="G1085" t="n">
        <v>1460.733961892455</v>
      </c>
      <c r="H1085" t="n">
        <v>5.998936561946683</v>
      </c>
      <c r="I1085">
        <f>IF(H1085=0, 0, G1085/H1085)</f>
        <v/>
      </c>
      <c r="J1085">
        <f>RANK(I1085, I$2:I$1111, 0)</f>
        <v/>
      </c>
      <c r="K1085">
        <f>SUM(C1085)</f>
        <v/>
      </c>
      <c r="L1085">
        <f>SUM(K1085,D1085)</f>
        <v/>
      </c>
      <c r="M1085">
        <f>SUM(L1085,E1085,F1085)</f>
        <v/>
      </c>
      <c r="N1085">
        <f>IF(L1085=0, -1, K1085/L1085)</f>
        <v/>
      </c>
      <c r="O1085">
        <f>IF(M1085=0, -1, K1085/M1085)</f>
        <v/>
      </c>
      <c r="P1085">
        <f>IF(M1085=0, -1, L1085/M1085)</f>
        <v/>
      </c>
    </row>
    <row r="1086">
      <c r="A1086" t="inlineStr">
        <is>
          <t>RC01129</t>
        </is>
      </c>
      <c r="B1086" t="inlineStr">
        <is>
          <t>湖北商贸学院</t>
        </is>
      </c>
      <c r="C1086" t="n">
        <v>0</v>
      </c>
      <c r="D1086" t="n">
        <v>0</v>
      </c>
      <c r="E1086" t="n">
        <v>0</v>
      </c>
      <c r="F1086" t="n">
        <v>1</v>
      </c>
      <c r="G1086" t="n">
        <v>1347.278896891099</v>
      </c>
      <c r="H1086" t="n">
        <v>5.998936561946683</v>
      </c>
      <c r="I1086">
        <f>IF(H1086=0, 0, G1086/H1086)</f>
        <v/>
      </c>
      <c r="J1086">
        <f>RANK(I1086, I$2:I$1111, 0)</f>
        <v/>
      </c>
      <c r="K1086">
        <f>SUM(C1086)</f>
        <v/>
      </c>
      <c r="L1086">
        <f>SUM(K1086,D1086)</f>
        <v/>
      </c>
      <c r="M1086">
        <f>SUM(L1086,E1086,F1086)</f>
        <v/>
      </c>
      <c r="N1086">
        <f>IF(L1086=0, -1, K1086/L1086)</f>
        <v/>
      </c>
      <c r="O1086">
        <f>IF(M1086=0, -1, K1086/M1086)</f>
        <v/>
      </c>
      <c r="P1086">
        <f>IF(M1086=0, -1, L1086/M1086)</f>
        <v/>
      </c>
    </row>
    <row r="1087">
      <c r="A1087" t="inlineStr">
        <is>
          <t>RC01144</t>
        </is>
      </c>
      <c r="B1087" t="inlineStr">
        <is>
          <t>武汉设计工程学院</t>
        </is>
      </c>
      <c r="C1087" t="n">
        <v>0</v>
      </c>
      <c r="D1087" t="n">
        <v>0</v>
      </c>
      <c r="E1087" t="n">
        <v>2</v>
      </c>
      <c r="F1087" t="n">
        <v>2</v>
      </c>
      <c r="G1087" t="n">
        <v>7553.543462582853</v>
      </c>
      <c r="H1087" t="n">
        <v>22.2310704678365</v>
      </c>
      <c r="I1087">
        <f>IF(H1087=0, 0, G1087/H1087)</f>
        <v/>
      </c>
      <c r="J1087">
        <f>RANK(I1087, I$2:I$1111, 0)</f>
        <v/>
      </c>
      <c r="K1087">
        <f>SUM(C1087)</f>
        <v/>
      </c>
      <c r="L1087">
        <f>SUM(K1087,D1087)</f>
        <v/>
      </c>
      <c r="M1087">
        <f>SUM(L1087,E1087,F1087)</f>
        <v/>
      </c>
      <c r="N1087">
        <f>IF(L1087=0, -1, K1087/L1087)</f>
        <v/>
      </c>
      <c r="O1087">
        <f>IF(M1087=0, -1, K1087/M1087)</f>
        <v/>
      </c>
      <c r="P1087">
        <f>IF(M1087=0, -1, L1087/M1087)</f>
        <v/>
      </c>
    </row>
    <row r="1088">
      <c r="A1088" t="inlineStr">
        <is>
          <t>RC00963</t>
        </is>
      </c>
      <c r="B1088" t="inlineStr">
        <is>
          <t>北京工业大学耿丹学院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1318.91513064076</v>
      </c>
      <c r="H1088" t="n">
        <v>5.998936561946683</v>
      </c>
      <c r="I1088">
        <f>IF(H1088=0, 0, G1088/H1088)</f>
        <v/>
      </c>
      <c r="J1088">
        <f>RANK(I1088, I$2:I$1111, 0)</f>
        <v/>
      </c>
      <c r="K1088">
        <f>SUM(C1088)</f>
        <v/>
      </c>
      <c r="L1088">
        <f>SUM(K1088,D1088)</f>
        <v/>
      </c>
      <c r="M1088">
        <f>SUM(L1088,E1088,F1088)</f>
        <v/>
      </c>
      <c r="N1088">
        <f>IF(L1088=0, -1, K1088/L1088)</f>
        <v/>
      </c>
      <c r="O1088">
        <f>IF(M1088=0, -1, K1088/M1088)</f>
        <v/>
      </c>
      <c r="P1088">
        <f>IF(M1088=0, -1, L1088/M1088)</f>
        <v/>
      </c>
    </row>
    <row r="1089">
      <c r="A1089" t="inlineStr">
        <is>
          <t>RC00961</t>
        </is>
      </c>
      <c r="B1089" t="inlineStr">
        <is>
          <t>北京金融科技学院</t>
        </is>
      </c>
      <c r="C1089" t="n">
        <v>0</v>
      </c>
      <c r="D1089" t="n">
        <v>0</v>
      </c>
      <c r="E1089" t="n">
        <v>0</v>
      </c>
      <c r="F1089" t="n">
        <v>1</v>
      </c>
      <c r="G1089" t="n">
        <v>1276.369481265252</v>
      </c>
      <c r="H1089" t="n">
        <v>5.998936561946683</v>
      </c>
      <c r="I1089">
        <f>IF(H1089=0, 0, G1089/H1089)</f>
        <v/>
      </c>
      <c r="J1089">
        <f>RANK(I1089, I$2:I$1111, 0)</f>
        <v/>
      </c>
      <c r="K1089">
        <f>SUM(C1089)</f>
        <v/>
      </c>
      <c r="L1089">
        <f>SUM(K1089,D1089)</f>
        <v/>
      </c>
      <c r="M1089">
        <f>SUM(L1089,E1089,F1089)</f>
        <v/>
      </c>
      <c r="N1089">
        <f>IF(L1089=0, -1, K1089/L1089)</f>
        <v/>
      </c>
      <c r="O1089">
        <f>IF(M1089=0, -1, K1089/M1089)</f>
        <v/>
      </c>
      <c r="P1089">
        <f>IF(M1089=0, -1, L1089/M1089)</f>
        <v/>
      </c>
    </row>
    <row r="1090">
      <c r="A1090" t="inlineStr">
        <is>
          <t>RC01115</t>
        </is>
      </c>
      <c r="B1090" t="inlineStr">
        <is>
          <t>河南开封科技传媒学院</t>
        </is>
      </c>
      <c r="C1090" t="n">
        <v>0</v>
      </c>
      <c r="D1090" t="n">
        <v>0</v>
      </c>
      <c r="E1090" t="n">
        <v>0</v>
      </c>
      <c r="F1090" t="n">
        <v>2</v>
      </c>
      <c r="G1090" t="n">
        <v>2488.558574043959</v>
      </c>
      <c r="H1090" t="n">
        <v>11.99289798925325</v>
      </c>
      <c r="I1090">
        <f>IF(H1090=0, 0, G1090/H1090)</f>
        <v/>
      </c>
      <c r="J1090">
        <f>RANK(I1090, I$2:I$1111, 0)</f>
        <v/>
      </c>
      <c r="K1090">
        <f>SUM(C1090)</f>
        <v/>
      </c>
      <c r="L1090">
        <f>SUM(K1090,D1090)</f>
        <v/>
      </c>
      <c r="M1090">
        <f>SUM(L1090,E1090,F1090)</f>
        <v/>
      </c>
      <c r="N1090">
        <f>IF(L1090=0, -1, K1090/L1090)</f>
        <v/>
      </c>
      <c r="O1090">
        <f>IF(M1090=0, -1, K1090/M1090)</f>
        <v/>
      </c>
      <c r="P1090">
        <f>IF(M1090=0, -1, L1090/M1090)</f>
        <v/>
      </c>
    </row>
    <row r="1091">
      <c r="A1091" t="inlineStr">
        <is>
          <t>RC01089</t>
        </is>
      </c>
      <c r="B1091" t="inlineStr">
        <is>
          <t>福建农林大学金山学院</t>
        </is>
      </c>
      <c r="C1091" t="n">
        <v>0</v>
      </c>
      <c r="D1091" t="n">
        <v>0</v>
      </c>
      <c r="E1091" t="n">
        <v>0</v>
      </c>
      <c r="F1091" t="n">
        <v>2</v>
      </c>
      <c r="G1091" t="n">
        <v>2446.012924668451</v>
      </c>
      <c r="H1091" t="n">
        <v>11.99289798925325</v>
      </c>
      <c r="I1091">
        <f>IF(H1091=0, 0, G1091/H1091)</f>
        <v/>
      </c>
      <c r="J1091">
        <f>RANK(I1091, I$2:I$1111, 0)</f>
        <v/>
      </c>
      <c r="K1091">
        <f>SUM(C1091)</f>
        <v/>
      </c>
      <c r="L1091">
        <f>SUM(K1091,D1091)</f>
        <v/>
      </c>
      <c r="M1091">
        <f>SUM(L1091,E1091,F1091)</f>
        <v/>
      </c>
      <c r="N1091">
        <f>IF(L1091=0, -1, K1091/L1091)</f>
        <v/>
      </c>
      <c r="O1091">
        <f>IF(M1091=0, -1, K1091/M1091)</f>
        <v/>
      </c>
      <c r="P1091">
        <f>IF(M1091=0, -1, L1091/M1091)</f>
        <v/>
      </c>
    </row>
    <row r="1092">
      <c r="A1092" t="inlineStr">
        <is>
          <t>RC01181</t>
        </is>
      </c>
      <c r="B1092" t="inlineStr">
        <is>
          <t>南宁师范大学师园学院</t>
        </is>
      </c>
      <c r="C1092" t="n">
        <v>0</v>
      </c>
      <c r="D1092" t="n">
        <v>0</v>
      </c>
      <c r="E1092" t="n">
        <v>0</v>
      </c>
      <c r="F1092" t="n">
        <v>1</v>
      </c>
      <c r="G1092" t="n">
        <v>1177.096299389066</v>
      </c>
      <c r="H1092" t="n">
        <v>5.998936561946683</v>
      </c>
      <c r="I1092">
        <f>IF(H1092=0, 0, G1092/H1092)</f>
        <v/>
      </c>
      <c r="J1092">
        <f>RANK(I1092, I$2:I$1111, 0)</f>
        <v/>
      </c>
      <c r="K1092">
        <f>SUM(C1092)</f>
        <v/>
      </c>
      <c r="L1092">
        <f>SUM(K1092,D1092)</f>
        <v/>
      </c>
      <c r="M1092">
        <f>SUM(L1092,E1092,F1092)</f>
        <v/>
      </c>
      <c r="N1092">
        <f>IF(L1092=0, -1, K1092/L1092)</f>
        <v/>
      </c>
      <c r="O1092">
        <f>IF(M1092=0, -1, K1092/M1092)</f>
        <v/>
      </c>
      <c r="P1092">
        <f>IF(M1092=0, -1, L1092/M1092)</f>
        <v/>
      </c>
    </row>
    <row r="1093">
      <c r="A1093" t="inlineStr">
        <is>
          <t>RC01015</t>
        </is>
      </c>
      <c r="B1093" t="inlineStr">
        <is>
          <t>长春电子科技学院</t>
        </is>
      </c>
      <c r="C1093" t="n">
        <v>0</v>
      </c>
      <c r="D1093" t="n">
        <v>0</v>
      </c>
      <c r="E1093" t="n">
        <v>0</v>
      </c>
      <c r="F1093" t="n">
        <v>2</v>
      </c>
      <c r="G1093" t="n">
        <v>2186.415747284626</v>
      </c>
      <c r="H1093" t="n">
        <v>11.99289798925325</v>
      </c>
      <c r="I1093">
        <f>IF(H1093=0, 0, G1093/H1093)</f>
        <v/>
      </c>
      <c r="J1093">
        <f>RANK(I1093, I$2:I$1111, 0)</f>
        <v/>
      </c>
      <c r="K1093">
        <f>SUM(C1093)</f>
        <v/>
      </c>
      <c r="L1093">
        <f>SUM(K1093,D1093)</f>
        <v/>
      </c>
      <c r="M1093">
        <f>SUM(L1093,E1093,F1093)</f>
        <v/>
      </c>
      <c r="N1093">
        <f>IF(L1093=0, -1, K1093/L1093)</f>
        <v/>
      </c>
      <c r="O1093">
        <f>IF(M1093=0, -1, K1093/M1093)</f>
        <v/>
      </c>
      <c r="P1093">
        <f>IF(M1093=0, -1, L1093/M1093)</f>
        <v/>
      </c>
    </row>
    <row r="1094">
      <c r="A1094" t="inlineStr">
        <is>
          <t>RC00888</t>
        </is>
      </c>
      <c r="B1094" t="inlineStr">
        <is>
          <t>烟台南山学院</t>
        </is>
      </c>
      <c r="C1094" t="n">
        <v>0</v>
      </c>
      <c r="D1094" t="n">
        <v>0</v>
      </c>
      <c r="E1094" t="n">
        <v>0</v>
      </c>
      <c r="F1094" t="n">
        <v>4</v>
      </c>
      <c r="G1094" t="n">
        <v>4649.245668654322</v>
      </c>
      <c r="H1094" t="n">
        <v>18.7728198967255</v>
      </c>
      <c r="I1094">
        <f>IF(H1094=0, 0, G1094/H1094)</f>
        <v/>
      </c>
      <c r="J1094">
        <f>RANK(I1094, I$2:I$1111, 0)</f>
        <v/>
      </c>
      <c r="K1094">
        <f>SUM(C1094)</f>
        <v/>
      </c>
      <c r="L1094">
        <f>SUM(K1094,D1094)</f>
        <v/>
      </c>
      <c r="M1094">
        <f>SUM(L1094,E1094,F1094)</f>
        <v/>
      </c>
      <c r="N1094">
        <f>IF(L1094=0, -1, K1094/L1094)</f>
        <v/>
      </c>
      <c r="O1094">
        <f>IF(M1094=0, -1, K1094/M1094)</f>
        <v/>
      </c>
      <c r="P1094">
        <f>IF(M1094=0, -1, L1094/M1094)</f>
        <v/>
      </c>
    </row>
    <row r="1095">
      <c r="A1095" t="inlineStr">
        <is>
          <t>RC01067</t>
        </is>
      </c>
      <c r="B1095" t="inlineStr">
        <is>
          <t>温州商学院</t>
        </is>
      </c>
      <c r="C1095" t="n">
        <v>0</v>
      </c>
      <c r="D1095" t="n">
        <v>0</v>
      </c>
      <c r="E1095" t="n">
        <v>1</v>
      </c>
      <c r="F1095" t="n">
        <v>1</v>
      </c>
      <c r="G1095" t="n">
        <v>3605.558077651085</v>
      </c>
      <c r="H1095" t="n">
        <v>11.45779323233218</v>
      </c>
      <c r="I1095">
        <f>IF(H1095=0, 0, G1095/H1095)</f>
        <v/>
      </c>
      <c r="J1095">
        <f>RANK(I1095, I$2:I$1111, 0)</f>
        <v/>
      </c>
      <c r="K1095">
        <f>SUM(C1095)</f>
        <v/>
      </c>
      <c r="L1095">
        <f>SUM(K1095,D1095)</f>
        <v/>
      </c>
      <c r="M1095">
        <f>SUM(L1095,E1095,F1095)</f>
        <v/>
      </c>
      <c r="N1095">
        <f>IF(L1095=0, -1, K1095/L1095)</f>
        <v/>
      </c>
      <c r="O1095">
        <f>IF(M1095=0, -1, K1095/M1095)</f>
        <v/>
      </c>
      <c r="P1095">
        <f>IF(M1095=0, -1, L1095/M1095)</f>
        <v/>
      </c>
    </row>
    <row r="1096">
      <c r="A1096" t="inlineStr">
        <is>
          <t>RC01084</t>
        </is>
      </c>
      <c r="B1096" t="inlineStr">
        <is>
          <t>福州工商学院</t>
        </is>
      </c>
      <c r="C1096" t="n">
        <v>0</v>
      </c>
      <c r="D1096" t="n">
        <v>0</v>
      </c>
      <c r="E1096" t="n">
        <v>0</v>
      </c>
      <c r="F1096" t="n">
        <v>1</v>
      </c>
      <c r="G1096" t="n">
        <v>1452.575610517191</v>
      </c>
      <c r="H1096" t="n">
        <v>5.993961427306569</v>
      </c>
      <c r="I1096">
        <f>IF(H1096=0, 0, G1096/H1096)</f>
        <v/>
      </c>
      <c r="J1096">
        <f>RANK(I1096, I$2:I$1111, 0)</f>
        <v/>
      </c>
      <c r="K1096">
        <f>SUM(C1096)</f>
        <v/>
      </c>
      <c r="L1096">
        <f>SUM(K1096,D1096)</f>
        <v/>
      </c>
      <c r="M1096">
        <f>SUM(L1096,E1096,F1096)</f>
        <v/>
      </c>
      <c r="N1096">
        <f>IF(L1096=0, -1, K1096/L1096)</f>
        <v/>
      </c>
      <c r="O1096">
        <f>IF(M1096=0, -1, K1096/M1096)</f>
        <v/>
      </c>
      <c r="P1096">
        <f>IF(M1096=0, -1, L1096/M1096)</f>
        <v/>
      </c>
    </row>
    <row r="1097">
      <c r="A1097" t="inlineStr">
        <is>
          <t>RC00917</t>
        </is>
      </c>
      <c r="B1097" t="inlineStr">
        <is>
          <t>湖南信息学院</t>
        </is>
      </c>
      <c r="C1097" t="n">
        <v>0</v>
      </c>
      <c r="D1097" t="n">
        <v>0</v>
      </c>
      <c r="E1097" t="n">
        <v>0</v>
      </c>
      <c r="F1097" t="n">
        <v>1</v>
      </c>
      <c r="G1097" t="n">
        <v>1435.879339131936</v>
      </c>
      <c r="H1097" t="n">
        <v>5.993961427306569</v>
      </c>
      <c r="I1097">
        <f>IF(H1097=0, 0, G1097/H1097)</f>
        <v/>
      </c>
      <c r="J1097">
        <f>RANK(I1097, I$2:I$1111, 0)</f>
        <v/>
      </c>
      <c r="K1097">
        <f>SUM(C1097)</f>
        <v/>
      </c>
      <c r="L1097">
        <f>SUM(K1097,D1097)</f>
        <v/>
      </c>
      <c r="M1097">
        <f>SUM(L1097,E1097,F1097)</f>
        <v/>
      </c>
      <c r="N1097">
        <f>IF(L1097=0, -1, K1097/L1097)</f>
        <v/>
      </c>
      <c r="O1097">
        <f>IF(M1097=0, -1, K1097/M1097)</f>
        <v/>
      </c>
      <c r="P1097">
        <f>IF(M1097=0, -1, L1097/M1097)</f>
        <v/>
      </c>
    </row>
    <row r="1098">
      <c r="A1098" t="inlineStr">
        <is>
          <t>RC01169</t>
        </is>
      </c>
      <c r="B1098" t="inlineStr">
        <is>
          <t>华南农业大学珠江学院</t>
        </is>
      </c>
      <c r="C1098" t="n">
        <v>0</v>
      </c>
      <c r="D1098" t="n">
        <v>0</v>
      </c>
      <c r="E1098" t="n">
        <v>0</v>
      </c>
      <c r="F1098" t="n">
        <v>1</v>
      </c>
      <c r="G1098" t="n">
        <v>1385.790524976171</v>
      </c>
      <c r="H1098" t="n">
        <v>5.993961427306569</v>
      </c>
      <c r="I1098">
        <f>IF(H1098=0, 0, G1098/H1098)</f>
        <v/>
      </c>
      <c r="J1098">
        <f>RANK(I1098, I$2:I$1111, 0)</f>
        <v/>
      </c>
      <c r="K1098">
        <f>SUM(C1098)</f>
        <v/>
      </c>
      <c r="L1098">
        <f>SUM(K1098,D1098)</f>
        <v/>
      </c>
      <c r="M1098">
        <f>SUM(L1098,E1098,F1098)</f>
        <v/>
      </c>
      <c r="N1098">
        <f>IF(L1098=0, -1, K1098/L1098)</f>
        <v/>
      </c>
      <c r="O1098">
        <f>IF(M1098=0, -1, K1098/M1098)</f>
        <v/>
      </c>
      <c r="P1098">
        <f>IF(M1098=0, -1, L1098/M1098)</f>
        <v/>
      </c>
    </row>
    <row r="1099">
      <c r="A1099" t="inlineStr">
        <is>
          <t>RC01032</t>
        </is>
      </c>
      <c r="B1099" t="inlineStr">
        <is>
          <t>南京师范大学中北学院</t>
        </is>
      </c>
      <c r="C1099" t="n">
        <v>0</v>
      </c>
      <c r="D1099" t="n">
        <v>0</v>
      </c>
      <c r="E1099" t="n">
        <v>0</v>
      </c>
      <c r="F1099" t="n">
        <v>1</v>
      </c>
      <c r="G1099" t="n">
        <v>1385.790524976171</v>
      </c>
      <c r="H1099" t="n">
        <v>5.993961427306569</v>
      </c>
      <c r="I1099">
        <f>IF(H1099=0, 0, G1099/H1099)</f>
        <v/>
      </c>
      <c r="J1099">
        <f>RANK(I1099, I$2:I$1111, 0)</f>
        <v/>
      </c>
      <c r="K1099">
        <f>SUM(C1099)</f>
        <v/>
      </c>
      <c r="L1099">
        <f>SUM(K1099,D1099)</f>
        <v/>
      </c>
      <c r="M1099">
        <f>SUM(L1099,E1099,F1099)</f>
        <v/>
      </c>
      <c r="N1099">
        <f>IF(L1099=0, -1, K1099/L1099)</f>
        <v/>
      </c>
      <c r="O1099">
        <f>IF(M1099=0, -1, K1099/M1099)</f>
        <v/>
      </c>
      <c r="P1099">
        <f>IF(M1099=0, -1, L1099/M1099)</f>
        <v/>
      </c>
    </row>
    <row r="1100">
      <c r="A1100" t="inlineStr">
        <is>
          <t>RC01219</t>
        </is>
      </c>
      <c r="B1100" t="inlineStr">
        <is>
          <t>西安建筑科技大学华清学院</t>
        </is>
      </c>
      <c r="C1100" t="n">
        <v>0</v>
      </c>
      <c r="D1100" t="n">
        <v>0</v>
      </c>
      <c r="E1100" t="n">
        <v>0</v>
      </c>
      <c r="F1100" t="n">
        <v>1</v>
      </c>
      <c r="G1100" t="n">
        <v>1352.39798220566</v>
      </c>
      <c r="H1100" t="n">
        <v>5.993961427306569</v>
      </c>
      <c r="I1100">
        <f>IF(H1100=0, 0, G1100/H1100)</f>
        <v/>
      </c>
      <c r="J1100">
        <f>RANK(I1100, I$2:I$1111, 0)</f>
        <v/>
      </c>
      <c r="K1100">
        <f>SUM(C1100)</f>
        <v/>
      </c>
      <c r="L1100">
        <f>SUM(K1100,D1100)</f>
        <v/>
      </c>
      <c r="M1100">
        <f>SUM(L1100,E1100,F1100)</f>
        <v/>
      </c>
      <c r="N1100">
        <f>IF(L1100=0, -1, K1100/L1100)</f>
        <v/>
      </c>
      <c r="O1100">
        <f>IF(M1100=0, -1, K1100/M1100)</f>
        <v/>
      </c>
      <c r="P1100">
        <f>IF(M1100=0, -1, L1100/M1100)</f>
        <v/>
      </c>
    </row>
    <row r="1101">
      <c r="A1101" t="inlineStr">
        <is>
          <t>RC00919</t>
        </is>
      </c>
      <c r="B1101" t="inlineStr">
        <is>
          <t>广东白云学院</t>
        </is>
      </c>
      <c r="C1101" t="n">
        <v>0</v>
      </c>
      <c r="D1101" t="n">
        <v>0</v>
      </c>
      <c r="E1101" t="n">
        <v>1</v>
      </c>
      <c r="F1101" t="n">
        <v>1</v>
      </c>
      <c r="G1101" t="n">
        <v>3230.504283299954</v>
      </c>
      <c r="H1101" t="n">
        <v>11.45779323233218</v>
      </c>
      <c r="I1101">
        <f>IF(H1101=0, 0, G1101/H1101)</f>
        <v/>
      </c>
      <c r="J1101">
        <f>RANK(I1101, I$2:I$1111, 0)</f>
        <v/>
      </c>
      <c r="K1101">
        <f>SUM(C1101)</f>
        <v/>
      </c>
      <c r="L1101">
        <f>SUM(K1101,D1101)</f>
        <v/>
      </c>
      <c r="M1101">
        <f>SUM(L1101,E1101,F1101)</f>
        <v/>
      </c>
      <c r="N1101">
        <f>IF(L1101=0, -1, K1101/L1101)</f>
        <v/>
      </c>
      <c r="O1101">
        <f>IF(M1101=0, -1, K1101/M1101)</f>
        <v/>
      </c>
      <c r="P1101">
        <f>IF(M1101=0, -1, L1101/M1101)</f>
        <v/>
      </c>
    </row>
    <row r="1102">
      <c r="A1102" t="inlineStr">
        <is>
          <t>RC01162</t>
        </is>
      </c>
      <c r="B1102" t="inlineStr">
        <is>
          <t>电子科技大学中山学院</t>
        </is>
      </c>
      <c r="C1102" t="n">
        <v>0</v>
      </c>
      <c r="D1102" t="n">
        <v>0</v>
      </c>
      <c r="E1102" t="n">
        <v>1</v>
      </c>
      <c r="F1102" t="n">
        <v>1</v>
      </c>
      <c r="G1102" t="n">
        <v>3156.864469984596</v>
      </c>
      <c r="H1102" t="n">
        <v>11.45779323233218</v>
      </c>
      <c r="I1102">
        <f>IF(H1102=0, 0, G1102/H1102)</f>
        <v/>
      </c>
      <c r="J1102">
        <f>RANK(I1102, I$2:I$1111, 0)</f>
        <v/>
      </c>
      <c r="K1102">
        <f>SUM(C1102)</f>
        <v/>
      </c>
      <c r="L1102">
        <f>SUM(K1102,D1102)</f>
        <v/>
      </c>
      <c r="M1102">
        <f>SUM(L1102,E1102,F1102)</f>
        <v/>
      </c>
      <c r="N1102">
        <f>IF(L1102=0, -1, K1102/L1102)</f>
        <v/>
      </c>
      <c r="O1102">
        <f>IF(M1102=0, -1, K1102/M1102)</f>
        <v/>
      </c>
      <c r="P1102">
        <f>IF(M1102=0, -1, L1102/M1102)</f>
        <v/>
      </c>
    </row>
    <row r="1103">
      <c r="A1103" t="inlineStr">
        <is>
          <t>RC01078</t>
        </is>
      </c>
      <c r="B1103" t="inlineStr">
        <is>
          <t>安徽信息工程学院</t>
        </is>
      </c>
      <c r="C1103" t="n">
        <v>0</v>
      </c>
      <c r="D1103" t="n">
        <v>0</v>
      </c>
      <c r="E1103" t="n">
        <v>1</v>
      </c>
      <c r="F1103" t="n">
        <v>0</v>
      </c>
      <c r="G1103" t="n">
        <v>2402.201914278501</v>
      </c>
      <c r="H1103" t="n">
        <v>5.46383180502561</v>
      </c>
      <c r="I1103">
        <f>IF(H1103=0, 0, G1103/H1103)</f>
        <v/>
      </c>
      <c r="J1103">
        <f>RANK(I1103, I$2:I$1111, 0)</f>
        <v/>
      </c>
      <c r="K1103">
        <f>SUM(C1103)</f>
        <v/>
      </c>
      <c r="L1103">
        <f>SUM(K1103,D1103)</f>
        <v/>
      </c>
      <c r="M1103">
        <f>SUM(L1103,E1103,F1103)</f>
        <v/>
      </c>
      <c r="N1103">
        <f>IF(L1103=0, -1, K1103/L1103)</f>
        <v/>
      </c>
      <c r="O1103">
        <f>IF(M1103=0, -1, K1103/M1103)</f>
        <v/>
      </c>
      <c r="P1103">
        <f>IF(M1103=0, -1, L1103/M1103)</f>
        <v/>
      </c>
    </row>
    <row r="1104">
      <c r="A1104" t="inlineStr">
        <is>
          <t>RC00877</t>
        </is>
      </c>
      <c r="B1104" t="inlineStr">
        <is>
          <t>闽南理工学院</t>
        </is>
      </c>
      <c r="C1104" t="n">
        <v>0</v>
      </c>
      <c r="D1104" t="n">
        <v>0</v>
      </c>
      <c r="E1104" t="n">
        <v>0</v>
      </c>
      <c r="F1104" t="n">
        <v>1</v>
      </c>
      <c r="G1104" t="n">
        <v>1931.181931086638</v>
      </c>
      <c r="H1104" t="n">
        <v>5.46383180502561</v>
      </c>
      <c r="I1104">
        <f>IF(H1104=0, 0, G1104/H1104)</f>
        <v/>
      </c>
      <c r="J1104">
        <f>RANK(I1104, I$2:I$1111, 0)</f>
        <v/>
      </c>
      <c r="K1104">
        <f>SUM(C1104)</f>
        <v/>
      </c>
      <c r="L1104">
        <f>SUM(K1104,D1104)</f>
        <v/>
      </c>
      <c r="M1104">
        <f>SUM(L1104,E1104,F1104)</f>
        <v/>
      </c>
      <c r="N1104">
        <f>IF(L1104=0, -1, K1104/L1104)</f>
        <v/>
      </c>
      <c r="O1104">
        <f>IF(M1104=0, -1, K1104/M1104)</f>
        <v/>
      </c>
      <c r="P1104">
        <f>IF(M1104=0, -1, L1104/M1104)</f>
        <v/>
      </c>
    </row>
    <row r="1105">
      <c r="A1105" t="inlineStr">
        <is>
          <t>RC01054</t>
        </is>
      </c>
      <c r="B1105" t="inlineStr">
        <is>
          <t>浙江理工大学科技与艺术学院</t>
        </is>
      </c>
      <c r="C1105" t="n">
        <v>0</v>
      </c>
      <c r="D1105" t="n">
        <v>0</v>
      </c>
      <c r="E1105" t="n">
        <v>0</v>
      </c>
      <c r="F1105" t="n">
        <v>1</v>
      </c>
      <c r="G1105" t="n">
        <v>1931.181931086638</v>
      </c>
      <c r="H1105" t="n">
        <v>5.46383180502561</v>
      </c>
      <c r="I1105">
        <f>IF(H1105=0, 0, G1105/H1105)</f>
        <v/>
      </c>
      <c r="J1105">
        <f>RANK(I1105, I$2:I$1111, 0)</f>
        <v/>
      </c>
      <c r="K1105">
        <f>SUM(C1105)</f>
        <v/>
      </c>
      <c r="L1105">
        <f>SUM(K1105,D1105)</f>
        <v/>
      </c>
      <c r="M1105">
        <f>SUM(L1105,E1105,F1105)</f>
        <v/>
      </c>
      <c r="N1105">
        <f>IF(L1105=0, -1, K1105/L1105)</f>
        <v/>
      </c>
      <c r="O1105">
        <f>IF(M1105=0, -1, K1105/M1105)</f>
        <v/>
      </c>
      <c r="P1105">
        <f>IF(M1105=0, -1, L1105/M1105)</f>
        <v/>
      </c>
    </row>
    <row r="1106">
      <c r="A1106" t="inlineStr">
        <is>
          <t>RC01086</t>
        </is>
      </c>
      <c r="B1106" t="inlineStr">
        <is>
          <t>厦门工学院</t>
        </is>
      </c>
      <c r="C1106" t="n">
        <v>0</v>
      </c>
      <c r="D1106" t="n">
        <v>0</v>
      </c>
      <c r="E1106" t="n">
        <v>0</v>
      </c>
      <c r="F1106" t="n">
        <v>1</v>
      </c>
      <c r="G1106" t="n">
        <v>1460.161947894775</v>
      </c>
      <c r="H1106" t="n">
        <v>5.46383180502561</v>
      </c>
      <c r="I1106">
        <f>IF(H1106=0, 0, G1106/H1106)</f>
        <v/>
      </c>
      <c r="J1106">
        <f>RANK(I1106, I$2:I$1111, 0)</f>
        <v/>
      </c>
      <c r="K1106">
        <f>SUM(C1106)</f>
        <v/>
      </c>
      <c r="L1106">
        <f>SUM(K1106,D1106)</f>
        <v/>
      </c>
      <c r="M1106">
        <f>SUM(L1106,E1106,F1106)</f>
        <v/>
      </c>
      <c r="N1106">
        <f>IF(L1106=0, -1, K1106/L1106)</f>
        <v/>
      </c>
      <c r="O1106">
        <f>IF(M1106=0, -1, K1106/M1106)</f>
        <v/>
      </c>
      <c r="P1106">
        <f>IF(M1106=0, -1, L1106/M1106)</f>
        <v/>
      </c>
    </row>
    <row r="1107">
      <c r="A1107" t="inlineStr">
        <is>
          <t>RC00887</t>
        </is>
      </c>
      <c r="B1107" t="inlineStr">
        <is>
          <t>青岛滨海学院</t>
        </is>
      </c>
      <c r="C1107" t="n">
        <v>0</v>
      </c>
      <c r="D1107" t="n">
        <v>0</v>
      </c>
      <c r="E1107" t="n">
        <v>0</v>
      </c>
      <c r="F1107" t="n">
        <v>1</v>
      </c>
      <c r="G1107" t="n">
        <v>1436.610948735182</v>
      </c>
      <c r="H1107" t="n">
        <v>5.46383180502561</v>
      </c>
      <c r="I1107">
        <f>IF(H1107=0, 0, G1107/H1107)</f>
        <v/>
      </c>
      <c r="J1107">
        <f>RANK(I1107, I$2:I$1111, 0)</f>
        <v/>
      </c>
      <c r="K1107">
        <f>SUM(C1107)</f>
        <v/>
      </c>
      <c r="L1107">
        <f>SUM(K1107,D1107)</f>
        <v/>
      </c>
      <c r="M1107">
        <f>SUM(L1107,E1107,F1107)</f>
        <v/>
      </c>
      <c r="N1107">
        <f>IF(L1107=0, -1, K1107/L1107)</f>
        <v/>
      </c>
      <c r="O1107">
        <f>IF(M1107=0, -1, K1107/M1107)</f>
        <v/>
      </c>
      <c r="P1107">
        <f>IF(M1107=0, -1, L1107/M1107)</f>
        <v/>
      </c>
    </row>
    <row r="1108">
      <c r="A1108" t="inlineStr">
        <is>
          <t>RC01167</t>
        </is>
      </c>
      <c r="B1108" t="inlineStr">
        <is>
          <t>东莞城市学院</t>
        </is>
      </c>
      <c r="C1108" t="n">
        <v>0</v>
      </c>
      <c r="D1108" t="n">
        <v>0</v>
      </c>
      <c r="E1108" t="n">
        <v>1</v>
      </c>
      <c r="F1108" t="n">
        <v>1</v>
      </c>
      <c r="G1108" t="n">
        <v>3794.452946494167</v>
      </c>
      <c r="H1108" t="n">
        <v>8.143226750367443</v>
      </c>
      <c r="I1108">
        <f>IF(H1108=0, 0, G1108/H1108)</f>
        <v/>
      </c>
      <c r="J1108">
        <f>RANK(I1108, I$2:I$1111, 0)</f>
        <v/>
      </c>
      <c r="K1108">
        <f>SUM(C1108)</f>
        <v/>
      </c>
      <c r="L1108">
        <f>SUM(K1108,D1108)</f>
        <v/>
      </c>
      <c r="M1108">
        <f>SUM(L1108,E1108,F1108)</f>
        <v/>
      </c>
      <c r="N1108">
        <f>IF(L1108=0, -1, K1108/L1108)</f>
        <v/>
      </c>
      <c r="O1108">
        <f>IF(M1108=0, -1, K1108/M1108)</f>
        <v/>
      </c>
      <c r="P1108">
        <f>IF(M1108=0, -1, L1108/M1108)</f>
        <v/>
      </c>
    </row>
    <row r="1109">
      <c r="A1109" t="inlineStr">
        <is>
          <t>RC00962</t>
        </is>
      </c>
      <c r="B1109" t="inlineStr">
        <is>
          <t>北京邮电大学世纪学院</t>
        </is>
      </c>
      <c r="C1109" t="n">
        <v>0</v>
      </c>
      <c r="D1109" t="n">
        <v>0</v>
      </c>
      <c r="E1109" t="n">
        <v>1</v>
      </c>
      <c r="F1109" t="n">
        <v>0</v>
      </c>
      <c r="G1109" t="n">
        <v>2644.006413847465</v>
      </c>
      <c r="H1109" t="n">
        <v>5.370638028127662</v>
      </c>
      <c r="I1109">
        <f>IF(H1109=0, 0, G1109/H1109)</f>
        <v/>
      </c>
      <c r="J1109">
        <f>RANK(I1109, I$2:I$1111, 0)</f>
        <v/>
      </c>
      <c r="K1109">
        <f>SUM(C1109)</f>
        <v/>
      </c>
      <c r="L1109">
        <f>SUM(K1109,D1109)</f>
        <v/>
      </c>
      <c r="M1109">
        <f>SUM(L1109,E1109,F1109)</f>
        <v/>
      </c>
      <c r="N1109">
        <f>IF(L1109=0, -1, K1109/L1109)</f>
        <v/>
      </c>
      <c r="O1109">
        <f>IF(M1109=0, -1, K1109/M1109)</f>
        <v/>
      </c>
      <c r="P1109">
        <f>IF(M1109=0, -1, L1109/M1109)</f>
        <v/>
      </c>
    </row>
    <row r="1110">
      <c r="A1110" t="inlineStr">
        <is>
          <t>RC00879</t>
        </is>
      </c>
      <c r="B1110" t="inlineStr">
        <is>
          <t>泉州信息工程学院</t>
        </is>
      </c>
      <c r="C1110" t="n">
        <v>0</v>
      </c>
      <c r="D1110" t="n">
        <v>0</v>
      </c>
      <c r="E1110" t="n">
        <v>1</v>
      </c>
      <c r="F1110" t="n">
        <v>0</v>
      </c>
      <c r="G1110" t="n">
        <v>2368.589079071687</v>
      </c>
      <c r="H1110" t="n">
        <v>5.370638028127662</v>
      </c>
      <c r="I1110">
        <f>IF(H1110=0, 0, G1110/H1110)</f>
        <v/>
      </c>
      <c r="J1110">
        <f>RANK(I1110, I$2:I$1111, 0)</f>
        <v/>
      </c>
      <c r="K1110">
        <f>SUM(C1110)</f>
        <v/>
      </c>
      <c r="L1110">
        <f>SUM(K1110,D1110)</f>
        <v/>
      </c>
      <c r="M1110">
        <f>SUM(L1110,E1110,F1110)</f>
        <v/>
      </c>
      <c r="N1110">
        <f>IF(L1110=0, -1, K1110/L1110)</f>
        <v/>
      </c>
      <c r="O1110">
        <f>IF(M1110=0, -1, K1110/M1110)</f>
        <v/>
      </c>
      <c r="P1110">
        <f>IF(M1110=0, -1, L1110/M1110)</f>
        <v/>
      </c>
    </row>
    <row r="1111">
      <c r="A1111" t="inlineStr">
        <is>
          <t>RC01174</t>
        </is>
      </c>
      <c r="B1111" t="inlineStr">
        <is>
          <t>广州华商学院</t>
        </is>
      </c>
      <c r="C1111" t="n">
        <v>0</v>
      </c>
      <c r="D1111" t="n">
        <v>0</v>
      </c>
      <c r="E1111" t="n">
        <v>0</v>
      </c>
      <c r="F1111" t="n">
        <v>1</v>
      </c>
      <c r="G1111" t="n">
        <v>344.87955266445</v>
      </c>
      <c r="H1111" t="n">
        <v>1.6094379124341</v>
      </c>
      <c r="I1111">
        <f>IF(H1111=0, 0, G1111/H1111)</f>
        <v/>
      </c>
      <c r="J1111">
        <f>RANK(I1111, I$2:I$1111, 0)</f>
        <v/>
      </c>
      <c r="K1111">
        <f>SUM(C1111)</f>
        <v/>
      </c>
      <c r="L1111">
        <f>SUM(K1111,D1111)</f>
        <v/>
      </c>
      <c r="M1111">
        <f>SUM(L1111,E1111,F1111)</f>
        <v/>
      </c>
      <c r="N1111">
        <f>IF(L1111=0, -1, K1111/L1111)</f>
        <v/>
      </c>
      <c r="O1111">
        <f>IF(M1111=0, -1, K1111/M1111)</f>
        <v/>
      </c>
      <c r="P1111">
        <f>IF(M1111=0, -1, L1111/M1111)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2025-12-21T13:18:38Z</dcterms:created>
  <dcterms:modified xmlns:dcterms="http://purl.org/dc/terms/" xmlns:xsi="http://www.w3.org/2001/XMLSchema-instance" xsi:type="dcterms:W3CDTF">2026-01-14T10:09:05Z</dcterms:modified>
</cp:coreProperties>
</file>